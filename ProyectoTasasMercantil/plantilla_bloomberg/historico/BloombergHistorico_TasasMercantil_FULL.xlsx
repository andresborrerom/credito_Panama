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ciones" sheetId="1" state="visible" r:id="rId1"/>
    <sheet name="01_Parametros" sheetId="2" state="visible" r:id="rId2"/>
    <sheet name="UST_Nominal" sheetId="3" state="visible" r:id="rId3"/>
    <sheet name="TIPS_Real" sheetId="4" state="visible" r:id="rId4"/>
    <sheet name="Breakevens" sheetId="5" state="visible" r:id="rId5"/>
    <sheet name="Swap_SOFR_OIS" sheetId="6" state="visible" r:id="rId6"/>
    <sheet name="Swap_USD_Clasico_LIBOR" sheetId="7" state="visible" r:id="rId7"/>
    <sheet name="SOFR_Money_Market" sheetId="8" state="visible" r:id="rId8"/>
    <sheet name="FedFunds_Policy" sheetId="9" state="visible" r:id="rId9"/>
    <sheet name="EuroDollar_Futures_Proxy_PreSOF" sheetId="10" state="visible" r:id="rId10"/>
    <sheet name="SR3_SOFR_Futures" sheetId="11" state="visible" r:id="rId11"/>
    <sheet name="05_Notas_Analista" sheetId="12" state="visible" r:id="rId12"/>
    <sheet name="99_Env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color rgb="001F3A5F"/>
      <sz val="12"/>
    </font>
    <font>
      <sz val="10"/>
    </font>
    <font>
      <b val="1"/>
      <color rgb="001F3A5F"/>
      <sz val="14"/>
    </font>
    <font>
      <b val="1"/>
      <color rgb="00FFFFFF"/>
      <sz val="11"/>
    </font>
    <font>
      <b val="1"/>
    </font>
    <font>
      <i val="1"/>
      <color rgb="00666666"/>
      <sz val="9"/>
    </font>
    <font>
      <color rgb="00666666"/>
      <sz val="8"/>
    </font>
    <font>
      <i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4F4"/>
      </patternFill>
    </fill>
    <fill>
      <patternFill patternType="solid">
        <fgColor rgb="00E8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Bloomberg HISTORICA — 1985-01-01 a 2026-05-29</t>
        </is>
      </c>
    </row>
    <row r="2">
      <c r="A2" t="inlineStr"/>
    </row>
    <row r="3">
      <c r="A3" s="2" t="inlineStr">
        <is>
          <t>Que es esto</t>
        </is>
      </c>
    </row>
    <row r="4">
      <c r="A4" s="3" t="inlineStr">
        <is>
          <t>Carga UNICA (una sola vez) de la serie historica diaria de tasas, swaps, TIPS, breakevens y futuros.</t>
        </is>
      </c>
    </row>
    <row r="5">
      <c r="A5" s="3" t="inlineStr">
        <is>
          <t>Esto alimenta el backtest del modelo predictivo (1985+) y los graficos de 12M corridos de cada corte.</t>
        </is>
      </c>
    </row>
    <row r="6">
      <c r="A6" s="3" t="inlineStr">
        <is>
          <t>NO es una plantilla recurrente — se corre una vez y se devuelve.</t>
        </is>
      </c>
    </row>
    <row r="7">
      <c r="A7" t="inlineStr"/>
    </row>
    <row r="8">
      <c r="A8" s="2" t="inlineStr">
        <is>
          <t>Como usarlo (paso a paso)</t>
        </is>
      </c>
    </row>
    <row r="9">
      <c r="A9" s="3" t="inlineStr">
        <is>
          <t>1. Abrir el archivo en Excel con Bloomberg add-in activo.</t>
        </is>
      </c>
    </row>
    <row r="10">
      <c r="A10" s="3" t="inlineStr">
        <is>
          <t>2. En la hoja '01_Parametros', las fechas FROM_DATE y TO_DATE YA estan fijadas.</t>
        </is>
      </c>
    </row>
    <row r="11">
      <c r="A11" s="3" t="inlineStr">
        <is>
          <t xml:space="preserve">   NO usar =TODAY() — el TO_DATE es fecha literal del cierre del mes corriente.</t>
        </is>
      </c>
    </row>
    <row r="12">
      <c r="A12" s="3" t="inlineStr">
        <is>
          <t>3. Llenar ANALISTA (B5) y FECHA_CARGA (B6, fecha en que corres Bloomberg).</t>
        </is>
      </c>
    </row>
    <row r="13">
      <c r="A13" s="3" t="inlineStr">
        <is>
          <t>4. CADA HOJA DE DATOS tiene una formula =BDH en celda A4 con rango (FROM_DATE, TO_DATE).</t>
        </is>
      </c>
    </row>
    <row r="14">
      <c r="A14" s="3" t="inlineStr">
        <is>
          <t xml:space="preserve">   La formula se desborda automaticamente como tabla de 2 columnas (fecha, valor) por instrumento.</t>
        </is>
      </c>
    </row>
    <row r="15">
      <c r="A15" s="3" t="inlineStr">
        <is>
          <t xml:space="preserve">   Esperar a que Bloomberg complete TODAS las series (puede tomar 5-15 minutos).</t>
        </is>
      </c>
    </row>
    <row r="16">
      <c r="A16" s="3" t="inlineStr">
        <is>
          <t>5. CRITICO — Si el archivo se TRABA o no termina:</t>
        </is>
      </c>
    </row>
    <row r="17">
      <c r="A17" s="3" t="inlineStr">
        <is>
          <t xml:space="preserve">   - Cerrar Excel sin guardar.</t>
        </is>
      </c>
    </row>
    <row r="18">
      <c r="A18" s="3" t="inlineStr">
        <is>
          <t xml:space="preserve">   - Abrir el archivo ALTERNATIVO de 20 anos.</t>
        </is>
      </c>
    </row>
    <row r="19">
      <c r="A19" s="3" t="inlineStr">
        <is>
          <t xml:space="preserve">   - Repetir el proceso ahi (rango mas corto = mas rapido).</t>
        </is>
      </c>
    </row>
    <row r="20">
      <c r="A20" s="3" t="inlineStr">
        <is>
          <t>6. CRITICO — Paste Special -&gt; Values en cada hoja de datos:</t>
        </is>
      </c>
    </row>
    <row r="21">
      <c r="A21" s="3" t="inlineStr">
        <is>
          <t xml:space="preserve">   - Ctrl+A (toda la hoja) -&gt; Ctrl+C -&gt; Edit -&gt; Paste Special -&gt; Values.</t>
        </is>
      </c>
    </row>
    <row r="22">
      <c r="A22" s="3" t="inlineStr">
        <is>
          <t xml:space="preserve">   - Esto congela los valores. Sin este paso, al reabrir sin Bloomberg se ven #N/A.</t>
        </is>
      </c>
    </row>
    <row r="23">
      <c r="A23" s="3" t="inlineStr">
        <is>
          <t>7. Escribir FECHA_GUARDADO_VALUES (B7).</t>
        </is>
      </c>
    </row>
    <row r="24">
      <c r="A24" s="3" t="inlineStr">
        <is>
          <t>8. Guardar el archivo con el sufijo correspondiente (FULL o ALT_20Y).</t>
        </is>
      </c>
    </row>
    <row r="25">
      <c r="A25" s="3" t="inlineStr">
        <is>
          <t>9. Devolver: subir a github.com/andresborrerom/credito_Panama branch</t>
        </is>
      </c>
    </row>
    <row r="26">
      <c r="A26" s="3" t="inlineStr">
        <is>
          <t xml:space="preserve">   claude/tasas-mercantil-report-Q8sFt, carpeta</t>
        </is>
      </c>
    </row>
    <row r="27">
      <c r="A27" s="3" t="inlineStr">
        <is>
          <t xml:space="preserve">   ProyectoTasasMercantil/plantilla_bloomberg/historico/. O por correo.</t>
        </is>
      </c>
    </row>
    <row r="28">
      <c r="A28" t="inlineStr"/>
    </row>
    <row r="29">
      <c r="A29" s="2" t="inlineStr">
        <is>
          <t>Notas tecnicas</t>
        </is>
      </c>
    </row>
    <row r="30">
      <c r="A30" s="3" t="inlineStr">
        <is>
          <t>- Las series con datos faltantes pre-fecha-de-existencia (TIPS antes de 2003, SOFR antes de 2018)</t>
        </is>
      </c>
    </row>
    <row r="31">
      <c r="A31" s="3" t="inlineStr">
        <is>
          <t xml:space="preserve">  apareceran vacias en las primeras filas. Eso es esperado, no es error.</t>
        </is>
      </c>
    </row>
    <row r="32">
      <c r="A32" s="3" t="inlineStr">
        <is>
          <t>- UST 20Y y 30Y tienen un GAP entre 2002-2006 cuando Treasury suspendio la emision.</t>
        </is>
      </c>
    </row>
    <row r="33">
      <c r="A33" s="3" t="inlineStr">
        <is>
          <t xml:space="preserve">  Bloomberg devolvera NaN en ese rango. Tambien esperado.</t>
        </is>
      </c>
    </row>
    <row r="34">
      <c r="A34" s="3" t="inlineStr">
        <is>
          <t>- Si algun ticker da #N/A Invalid Security, anotarlo en la hoja '05_Notas_Analista' con</t>
        </is>
      </c>
    </row>
    <row r="35">
      <c r="A35" s="3" t="inlineStr">
        <is>
          <t xml:space="preserve">  sugerencia del ticker correcto.</t>
        </is>
      </c>
    </row>
    <row r="36">
      <c r="A36" s="3" t="inlineStr">
        <is>
          <t>- Recomendacion: cerrar el resto de aplicaciones pesadas mientras corre. Bloomberg consume RAM.</t>
        </is>
      </c>
    </row>
    <row r="37">
      <c r="A37" t="inlineStr"/>
    </row>
    <row r="38">
      <c r="A38" s="2" t="inlineStr">
        <is>
          <t>Tiempo estimado</t>
        </is>
      </c>
    </row>
    <row r="39">
      <c r="A39" s="3" t="inlineStr">
        <is>
          <t>FULL (40 anos): 10-20 minutos de carga + 2 min de Paste Values. Tamaño final ~10-20 MB.</t>
        </is>
      </c>
    </row>
    <row r="40">
      <c r="A40" s="3" t="inlineStr">
        <is>
          <t>ALT 20Y: 5-10 minutos. Tamaño final ~5-10 MB.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70" customWidth="1" min="4" max="4"/>
  </cols>
  <sheetData>
    <row r="1">
      <c r="A1" s="4" t="inlineStr">
        <is>
          <t>Parametros del backfill historico</t>
        </is>
      </c>
    </row>
    <row r="2">
      <c r="A2" s="5" t="inlineStr">
        <is>
          <t>Parametro</t>
        </is>
      </c>
      <c r="B2" s="5" t="inlineStr">
        <is>
          <t>Valor</t>
        </is>
      </c>
      <c r="C2" s="5" t="inlineStr">
        <is>
          <t>Tipo</t>
        </is>
      </c>
      <c r="D2" s="5" t="inlineStr">
        <is>
          <t>Descripcion</t>
        </is>
      </c>
    </row>
    <row r="3">
      <c r="A3" s="6" t="inlineStr">
        <is>
          <t>FROM_DATE</t>
        </is>
      </c>
      <c r="B3" s="7" t="inlineStr">
        <is>
          <t>1985-01-01</t>
        </is>
      </c>
      <c r="C3" t="inlineStr">
        <is>
          <t>fixed</t>
        </is>
      </c>
      <c r="D3" t="inlineStr">
        <is>
          <t>Inicio de la serie historica — literal, NO formula</t>
        </is>
      </c>
    </row>
    <row r="4">
      <c r="A4" s="6" t="inlineStr">
        <is>
          <t>TO_DATE</t>
        </is>
      </c>
      <c r="B4" s="7" t="inlineStr">
        <is>
          <t>2026-05-29</t>
        </is>
      </c>
      <c r="C4" t="inlineStr">
        <is>
          <t>fixed</t>
        </is>
      </c>
      <c r="D4" t="inlineStr">
        <is>
          <t>Fin de la serie historica — literal, ajustar antes de correr</t>
        </is>
      </c>
    </row>
    <row r="5">
      <c r="A5" s="6" t="inlineStr">
        <is>
          <t>ANALISTA</t>
        </is>
      </c>
      <c r="B5" s="8" t="n"/>
      <c r="C5" t="inlineStr">
        <is>
          <t>input</t>
        </is>
      </c>
      <c r="D5" t="inlineStr">
        <is>
          <t>Nombre del analista que corre la plantilla</t>
        </is>
      </c>
    </row>
    <row r="6">
      <c r="A6" s="6" t="inlineStr">
        <is>
          <t>FECHA_CARGA</t>
        </is>
      </c>
      <c r="B6" s="9" t="n"/>
      <c r="C6" t="inlineStr">
        <is>
          <t>input</t>
        </is>
      </c>
      <c r="D6" t="inlineStr">
        <is>
          <t>Fecha de carga — escribir a mano (NO =TODAY())</t>
        </is>
      </c>
    </row>
    <row r="7">
      <c r="A7" s="6" t="inlineStr">
        <is>
          <t>FECHA_GUARDADO_VALUES</t>
        </is>
      </c>
      <c r="B7" s="9" t="n"/>
      <c r="C7" t="inlineStr">
        <is>
          <t>input</t>
        </is>
      </c>
      <c r="D7" t="inlineStr">
        <is>
          <t>Fecha del Paste Special -&gt; Values — manual</t>
        </is>
      </c>
    </row>
    <row r="8">
      <c r="A8" s="6" t="inlineStr">
        <is>
          <t>VERSION_PLANTILLA</t>
        </is>
      </c>
      <c r="B8" s="10" t="inlineStr">
        <is>
          <t>FULL o ALT_20Y</t>
        </is>
      </c>
      <c r="C8" t="inlineStr">
        <is>
          <t>fixed</t>
        </is>
      </c>
      <c r="D8" t="inlineStr">
        <is>
          <t>FULL = 1985-presente, ALT_20Y = ~20 anos</t>
        </is>
      </c>
    </row>
    <row r="9">
      <c r="A9" s="6" t="inlineStr">
        <is>
          <t>NOTAS</t>
        </is>
      </c>
      <c r="B9" s="8" t="n"/>
      <c r="C9" t="inlineStr">
        <is>
          <t>input</t>
        </is>
      </c>
      <c r="D9" t="inlineStr">
        <is>
          <t>Observaciones, tickers fallidos,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  <col width="13" customWidth="1" min="17" max="17"/>
    <col width="12" customWidth="1" min="18" max="18"/>
    <col width="13" customWidth="1" min="19" max="19"/>
    <col width="12" customWidth="1" min="20" max="20"/>
    <col width="13" customWidth="1" min="21" max="21"/>
    <col width="12" customWidth="1" min="22" max="22"/>
  </cols>
  <sheetData>
    <row r="1">
      <c r="A1" s="2" t="inlineStr">
        <is>
          <t>Categoria: UST_Nominal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UST_1M — fecha</t>
        </is>
      </c>
      <c r="B3" s="5" t="inlineStr">
        <is>
          <t>UST_1M — valor</t>
        </is>
      </c>
      <c r="C3" s="5" t="inlineStr">
        <is>
          <t>UST_3M — fecha</t>
        </is>
      </c>
      <c r="D3" s="5" t="inlineStr">
        <is>
          <t>UST_3M — valor</t>
        </is>
      </c>
      <c r="E3" s="5" t="inlineStr">
        <is>
          <t>UST_6M — fecha</t>
        </is>
      </c>
      <c r="F3" s="5" t="inlineStr">
        <is>
          <t>UST_6M — valor</t>
        </is>
      </c>
      <c r="G3" s="5" t="inlineStr">
        <is>
          <t>UST_1Y — fecha</t>
        </is>
      </c>
      <c r="H3" s="5" t="inlineStr">
        <is>
          <t>UST_1Y — valor</t>
        </is>
      </c>
      <c r="I3" s="5" t="inlineStr">
        <is>
          <t>UST_2Y — fecha</t>
        </is>
      </c>
      <c r="J3" s="5" t="inlineStr">
        <is>
          <t>UST_2Y — valor</t>
        </is>
      </c>
      <c r="K3" s="5" t="inlineStr">
        <is>
          <t>UST_3Y — fecha</t>
        </is>
      </c>
      <c r="L3" s="5" t="inlineStr">
        <is>
          <t>UST_3Y — valor</t>
        </is>
      </c>
      <c r="M3" s="5" t="inlineStr">
        <is>
          <t>UST_5Y — fecha</t>
        </is>
      </c>
      <c r="N3" s="5" t="inlineStr">
        <is>
          <t>UST_5Y — valor</t>
        </is>
      </c>
      <c r="O3" s="5" t="inlineStr">
        <is>
          <t>UST_7Y — fecha</t>
        </is>
      </c>
      <c r="P3" s="5" t="inlineStr">
        <is>
          <t>UST_7Y — valor</t>
        </is>
      </c>
      <c r="Q3" s="5" t="inlineStr">
        <is>
          <t>UST_10Y — fecha</t>
        </is>
      </c>
      <c r="R3" s="5" t="inlineStr">
        <is>
          <t>UST_10Y — valor</t>
        </is>
      </c>
      <c r="S3" s="5" t="inlineStr">
        <is>
          <t>UST_20Y — fecha</t>
        </is>
      </c>
      <c r="T3" s="5" t="inlineStr">
        <is>
          <t>UST_20Y — valor</t>
        </is>
      </c>
      <c r="U3" s="5" t="inlineStr">
        <is>
          <t>UST_30Y — fecha</t>
        </is>
      </c>
      <c r="V3" s="5" t="inlineStr">
        <is>
          <t>UST_30Y — valor</t>
        </is>
      </c>
    </row>
    <row r="4">
      <c r="A4" s="10">
        <f>BDH("USGG1M Index","PX_LAST",'01_Parametros'!$B$3,'01_Parametros'!$B$4,"Dir=V","Dts=H","Fill=B","cols=2;rows=12000")</f>
        <v/>
      </c>
      <c r="C4" s="10">
        <f>BDH("USGG3M Index","PX_LAST",'01_Parametros'!$B$3,'01_Parametros'!$B$4,"Dir=V","Dts=H","Fill=B","cols=2;rows=12000")</f>
        <v/>
      </c>
      <c r="E4" s="10">
        <f>BDH("USGG6M Index","PX_LAST",'01_Parametros'!$B$3,'01_Parametros'!$B$4,"Dir=V","Dts=H","Fill=B","cols=2;rows=12000")</f>
        <v/>
      </c>
      <c r="G4" s="10">
        <f>BDH("USGG12M Index","PX_LAST",'01_Parametros'!$B$3,'01_Parametros'!$B$4,"Dir=V","Dts=H","Fill=B","cols=2;rows=12000")</f>
        <v/>
      </c>
      <c r="I4" s="10">
        <f>BDH("USGG2YR Index","PX_LAST",'01_Parametros'!$B$3,'01_Parametros'!$B$4,"Dir=V","Dts=H","Fill=B","cols=2;rows=12000")</f>
        <v/>
      </c>
      <c r="K4" s="10">
        <f>BDH("USGG3YR Index","PX_LAST",'01_Parametros'!$B$3,'01_Parametros'!$B$4,"Dir=V","Dts=H","Fill=B","cols=2;rows=12000")</f>
        <v/>
      </c>
      <c r="M4" s="10">
        <f>BDH("USGG5YR Index","PX_LAST",'01_Parametros'!$B$3,'01_Parametros'!$B$4,"Dir=V","Dts=H","Fill=B","cols=2;rows=12000")</f>
        <v/>
      </c>
      <c r="O4" s="10">
        <f>BDH("USGG7YR Index","PX_LAST",'01_Parametros'!$B$3,'01_Parametros'!$B$4,"Dir=V","Dts=H","Fill=B","cols=2;rows=12000")</f>
        <v/>
      </c>
      <c r="Q4" s="10">
        <f>BDH("USGG10YR Index","PX_LAST",'01_Parametros'!$B$3,'01_Parametros'!$B$4,"Dir=V","Dts=H","Fill=B","cols=2;rows=12000")</f>
        <v/>
      </c>
      <c r="S4" s="10">
        <f>BDH("USGG20YR Index","PX_LAST",'01_Parametros'!$B$3,'01_Parametros'!$B$4,"Dir=V","Dts=H","Fill=B","cols=2;rows=12000")</f>
        <v/>
      </c>
      <c r="U4" s="10">
        <f>BDH("USGG30YR Index","PX_LAST",'01_Parametros'!$B$3,'01_Parametros'!$B$4,"Dir=V","Dts=H","Fill=B","cols=2;rows=12000")</f>
        <v/>
      </c>
    </row>
    <row r="5">
      <c r="A5" s="12" t="inlineStr">
        <is>
          <t>Ticker: USGG1M Index</t>
        </is>
      </c>
      <c r="B5" s="12" t="inlineStr">
        <is>
          <t>US Treasury 1M nominal</t>
        </is>
      </c>
      <c r="C5" s="12" t="inlineStr">
        <is>
          <t>Ticker: USGG3M Index</t>
        </is>
      </c>
      <c r="D5" s="12" t="inlineStr">
        <is>
          <t>US Treasury 3M nominal</t>
        </is>
      </c>
      <c r="E5" s="12" t="inlineStr">
        <is>
          <t>Ticker: USGG6M Index</t>
        </is>
      </c>
      <c r="F5" s="12" t="inlineStr">
        <is>
          <t>US Treasury 6M nominal</t>
        </is>
      </c>
      <c r="G5" s="12" t="inlineStr">
        <is>
          <t>Ticker: USGG12M Index</t>
        </is>
      </c>
      <c r="H5" s="12" t="inlineStr">
        <is>
          <t>US Treasury 1Y nominal</t>
        </is>
      </c>
      <c r="I5" s="12" t="inlineStr">
        <is>
          <t>Ticker: USGG2YR Index</t>
        </is>
      </c>
      <c r="J5" s="12" t="inlineStr">
        <is>
          <t>US Treasury 2Y nominal</t>
        </is>
      </c>
      <c r="K5" s="12" t="inlineStr">
        <is>
          <t>Ticker: USGG3YR Index</t>
        </is>
      </c>
      <c r="L5" s="12" t="inlineStr">
        <is>
          <t>US Treasury 3Y nominal</t>
        </is>
      </c>
      <c r="M5" s="12" t="inlineStr">
        <is>
          <t>Ticker: USGG5YR Index</t>
        </is>
      </c>
      <c r="N5" s="12" t="inlineStr">
        <is>
          <t>US Treasury 5Y nominal</t>
        </is>
      </c>
      <c r="O5" s="12" t="inlineStr">
        <is>
          <t>Ticker: USGG7YR Index</t>
        </is>
      </c>
      <c r="P5" s="12" t="inlineStr">
        <is>
          <t>US Treasury 7Y nominal</t>
        </is>
      </c>
      <c r="Q5" s="12" t="inlineStr">
        <is>
          <t>Ticker: USGG10YR Index</t>
        </is>
      </c>
      <c r="R5" s="12" t="inlineStr">
        <is>
          <t>US Treasury 10Y nominal</t>
        </is>
      </c>
      <c r="S5" s="12" t="inlineStr">
        <is>
          <t>Ticker: USGG20YR Index</t>
        </is>
      </c>
      <c r="T5" s="12" t="inlineStr">
        <is>
          <t>US Treasury 20Y nominal — gap 2002-2006</t>
        </is>
      </c>
      <c r="U5" s="12" t="inlineStr">
        <is>
          <t>Ticker: USGG30YR Index</t>
        </is>
      </c>
      <c r="V5" s="12" t="inlineStr">
        <is>
          <t>US Treasury 30Y nominal — gap 2002-2006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TIPS_Real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TIPS_5Y — fecha</t>
        </is>
      </c>
      <c r="B3" s="5" t="inlineStr">
        <is>
          <t>TIPS_5Y — valor</t>
        </is>
      </c>
      <c r="C3" s="5" t="inlineStr">
        <is>
          <t>TIPS_10Y — fecha</t>
        </is>
      </c>
      <c r="D3" s="5" t="inlineStr">
        <is>
          <t>TIPS_10Y — valor</t>
        </is>
      </c>
      <c r="E3" s="5" t="inlineStr">
        <is>
          <t>TIPS_20Y — fecha</t>
        </is>
      </c>
      <c r="F3" s="5" t="inlineStr">
        <is>
          <t>TIPS_20Y — valor</t>
        </is>
      </c>
      <c r="G3" s="5" t="inlineStr">
        <is>
          <t>TIPS_30Y — fecha</t>
        </is>
      </c>
      <c r="H3" s="5" t="inlineStr">
        <is>
          <t>TIPS_30Y — valor</t>
        </is>
      </c>
    </row>
    <row r="4">
      <c r="A4" s="10">
        <f>BDH("USGGT05Y Index","PX_LAST",'01_Parametros'!$B$3,'01_Parametros'!$B$4,"Dir=V","Dts=H","Fill=B","cols=2;rows=12000")</f>
        <v/>
      </c>
      <c r="C4" s="10">
        <f>BDH("USGGT10Y Index","PX_LAST",'01_Parametros'!$B$3,'01_Parametros'!$B$4,"Dir=V","Dts=H","Fill=B","cols=2;rows=12000")</f>
        <v/>
      </c>
      <c r="E4" s="10">
        <f>BDH("USGGT20Y Index","PX_LAST",'01_Parametros'!$B$3,'01_Parametros'!$B$4,"Dir=V","Dts=H","Fill=B","cols=2;rows=12000")</f>
        <v/>
      </c>
      <c r="G4" s="10">
        <f>BDH("USGGT30Y Index","PX_LAST",'01_Parametros'!$B$3,'01_Parametros'!$B$4,"Dir=V","Dts=H","Fill=B","cols=2;rows=12000")</f>
        <v/>
      </c>
    </row>
    <row r="5">
      <c r="A5" s="12" t="inlineStr">
        <is>
          <t>Ticker: USGGT05Y Index</t>
        </is>
      </c>
      <c r="B5" s="12" t="inlineStr">
        <is>
          <t>TIPS 5Y CMT — disponible desde 2003</t>
        </is>
      </c>
      <c r="C5" s="12" t="inlineStr">
        <is>
          <t>Ticker: USGGT10Y Index</t>
        </is>
      </c>
      <c r="D5" s="12" t="inlineStr">
        <is>
          <t>TIPS 10Y CMT — disponible desde 2003</t>
        </is>
      </c>
      <c r="E5" s="12" t="inlineStr">
        <is>
          <t>Ticker: USGGT20Y Index</t>
        </is>
      </c>
      <c r="F5" s="12" t="inlineStr">
        <is>
          <t>TIPS 20Y CMT — disponible desde 2004</t>
        </is>
      </c>
      <c r="G5" s="12" t="inlineStr">
        <is>
          <t>Ticker: USGGT30Y Index</t>
        </is>
      </c>
      <c r="H5" s="12" t="inlineStr">
        <is>
          <t>TIPS 30Y CMT — disponible desde 2010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Breakevens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BE_2Y — fecha</t>
        </is>
      </c>
      <c r="B3" s="5" t="inlineStr">
        <is>
          <t>BE_2Y — valor</t>
        </is>
      </c>
      <c r="C3" s="5" t="inlineStr">
        <is>
          <t>BE_5Y — fecha</t>
        </is>
      </c>
      <c r="D3" s="5" t="inlineStr">
        <is>
          <t>BE_5Y — valor</t>
        </is>
      </c>
      <c r="E3" s="5" t="inlineStr">
        <is>
          <t>BE_10Y — fecha</t>
        </is>
      </c>
      <c r="F3" s="5" t="inlineStr">
        <is>
          <t>BE_10Y — valor</t>
        </is>
      </c>
      <c r="G3" s="5" t="inlineStr">
        <is>
          <t>BE_30Y — fecha</t>
        </is>
      </c>
      <c r="H3" s="5" t="inlineStr">
        <is>
          <t>BE_30Y — valor</t>
        </is>
      </c>
    </row>
    <row r="4">
      <c r="A4" s="10">
        <f>BDH("USGGBE02 Index","PX_LAST",'01_Parametros'!$B$3,'01_Parametros'!$B$4,"Dir=V","Dts=H","Fill=B","cols=2;rows=12000")</f>
        <v/>
      </c>
      <c r="C4" s="10">
        <f>BDH("USGGBE05 Index","PX_LAST",'01_Parametros'!$B$3,'01_Parametros'!$B$4,"Dir=V","Dts=H","Fill=B","cols=2;rows=12000")</f>
        <v/>
      </c>
      <c r="E4" s="10">
        <f>BDH("USGGBE10 Index","PX_LAST",'01_Parametros'!$B$3,'01_Parametros'!$B$4,"Dir=V","Dts=H","Fill=B","cols=2;rows=12000")</f>
        <v/>
      </c>
      <c r="G4" s="10">
        <f>BDH("USGGBE30 Index","PX_LAST",'01_Parametros'!$B$3,'01_Parametros'!$B$4,"Dir=V","Dts=H","Fill=B","cols=2;rows=12000")</f>
        <v/>
      </c>
    </row>
    <row r="5">
      <c r="A5" s="12" t="inlineStr">
        <is>
          <t>Ticker: USGGBE02 Index</t>
        </is>
      </c>
      <c r="B5" s="12" t="inlineStr">
        <is>
          <t>US 2Y breakeven inflation</t>
        </is>
      </c>
      <c r="C5" s="12" t="inlineStr">
        <is>
          <t>Ticker: USGGBE05 Index</t>
        </is>
      </c>
      <c r="D5" s="12" t="inlineStr">
        <is>
          <t>US 5Y breakeven inflation</t>
        </is>
      </c>
      <c r="E5" s="12" t="inlineStr">
        <is>
          <t>Ticker: USGGBE10 Index</t>
        </is>
      </c>
      <c r="F5" s="12" t="inlineStr">
        <is>
          <t>US 10Y breakeven inflation</t>
        </is>
      </c>
      <c r="G5" s="12" t="inlineStr">
        <is>
          <t>Ticker: USGGBE30 Index</t>
        </is>
      </c>
      <c r="H5" s="12" t="inlineStr">
        <is>
          <t>US 30Y breakeven inflation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Swap_SOFR_OIS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SOFR_OIS_2Y — fecha</t>
        </is>
      </c>
      <c r="B3" s="5" t="inlineStr">
        <is>
          <t>SOFR_OIS_2Y — valor</t>
        </is>
      </c>
      <c r="C3" s="5" t="inlineStr">
        <is>
          <t>SOFR_OIS_5Y — fecha</t>
        </is>
      </c>
      <c r="D3" s="5" t="inlineStr">
        <is>
          <t>SOFR_OIS_5Y — valor</t>
        </is>
      </c>
      <c r="E3" s="5" t="inlineStr">
        <is>
          <t>SOFR_OIS_10Y — fecha</t>
        </is>
      </c>
      <c r="F3" s="5" t="inlineStr">
        <is>
          <t>SOFR_OIS_10Y — valor</t>
        </is>
      </c>
      <c r="G3" s="5" t="inlineStr">
        <is>
          <t>SOFR_OIS_30Y — fecha</t>
        </is>
      </c>
      <c r="H3" s="5" t="inlineStr">
        <is>
          <t>SOFR_OIS_30Y — valor</t>
        </is>
      </c>
    </row>
    <row r="4">
      <c r="A4" s="10">
        <f>BDH("USOSFR2 BGN Curncy","PX_LAST",'01_Parametros'!$B$3,'01_Parametros'!$B$4,"Dir=V","Dts=H","Fill=B","cols=2;rows=12000")</f>
        <v/>
      </c>
      <c r="C4" s="10">
        <f>BDH("USOSFR5 BGN Curncy","PX_LAST",'01_Parametros'!$B$3,'01_Parametros'!$B$4,"Dir=V","Dts=H","Fill=B","cols=2;rows=12000")</f>
        <v/>
      </c>
      <c r="E4" s="10">
        <f>BDH("USOSFR10 BGN Curncy","PX_LAST",'01_Parametros'!$B$3,'01_Parametros'!$B$4,"Dir=V","Dts=H","Fill=B","cols=2;rows=12000")</f>
        <v/>
      </c>
      <c r="G4" s="10">
        <f>BDH("USOSFR30 BGN Curncy","PX_LAST",'01_Parametros'!$B$3,'01_Parametros'!$B$4,"Dir=V","Dts=H","Fill=B","cols=2;rows=12000")</f>
        <v/>
      </c>
    </row>
    <row r="5">
      <c r="A5" s="12" t="inlineStr">
        <is>
          <t>Ticker: USOSFR2 BGN Curncy</t>
        </is>
      </c>
      <c r="B5" s="12" t="inlineStr">
        <is>
          <t>USD SOFR OIS 2Y - confirmar conv</t>
        </is>
      </c>
      <c r="C5" s="12" t="inlineStr">
        <is>
          <t>Ticker: USOSFR5 BGN Curncy</t>
        </is>
      </c>
      <c r="D5" s="12" t="inlineStr">
        <is>
          <t>USD SOFR OIS 5Y - confirmar conv</t>
        </is>
      </c>
      <c r="E5" s="12" t="inlineStr">
        <is>
          <t>Ticker: USOSFR10 BGN Curncy</t>
        </is>
      </c>
      <c r="F5" s="12" t="inlineStr">
        <is>
          <t>USD SOFR OIS 10Y - confirmar conv</t>
        </is>
      </c>
      <c r="G5" s="12" t="inlineStr">
        <is>
          <t>Ticker: USOSFR30 BGN Curncy</t>
        </is>
      </c>
      <c r="H5" s="12" t="inlineStr">
        <is>
          <t>USD SOFR OIS 30Y - confirmar conv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Swap_USD_Clasico_LIBOR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USSW2_LIBOR — fecha</t>
        </is>
      </c>
      <c r="B3" s="5" t="inlineStr">
        <is>
          <t>USSW2_LIBOR — valor</t>
        </is>
      </c>
      <c r="C3" s="5" t="inlineStr">
        <is>
          <t>USSW5_LIBOR — fecha</t>
        </is>
      </c>
      <c r="D3" s="5" t="inlineStr">
        <is>
          <t>USSW5_LIBOR — valor</t>
        </is>
      </c>
      <c r="E3" s="5" t="inlineStr">
        <is>
          <t>USSW10_LIBOR — fecha</t>
        </is>
      </c>
      <c r="F3" s="5" t="inlineStr">
        <is>
          <t>USSW10_LIBOR — valor</t>
        </is>
      </c>
      <c r="G3" s="5" t="inlineStr">
        <is>
          <t>USSW30_LIBOR — fecha</t>
        </is>
      </c>
      <c r="H3" s="5" t="inlineStr">
        <is>
          <t>USSW30_LIBOR — valor</t>
        </is>
      </c>
    </row>
    <row r="4">
      <c r="A4" s="10">
        <f>BDH("USSW2 Curncy","PX_LAST",'01_Parametros'!$B$3,'01_Parametros'!$B$4,"Dir=V","Dts=H","Fill=B","cols=2;rows=12000")</f>
        <v/>
      </c>
      <c r="C4" s="10">
        <f>BDH("USSW5 Curncy","PX_LAST",'01_Parametros'!$B$3,'01_Parametros'!$B$4,"Dir=V","Dts=H","Fill=B","cols=2;rows=12000")</f>
        <v/>
      </c>
      <c r="E4" s="10">
        <f>BDH("USSW10 Curncy","PX_LAST",'01_Parametros'!$B$3,'01_Parametros'!$B$4,"Dir=V","Dts=H","Fill=B","cols=2;rows=12000")</f>
        <v/>
      </c>
      <c r="G4" s="10">
        <f>BDH("USSW30 Curncy","PX_LAST",'01_Parametros'!$B$3,'01_Parametros'!$B$4,"Dir=V","Dts=H","Fill=B","cols=2;rows=12000")</f>
        <v/>
      </c>
    </row>
    <row r="5">
      <c r="A5" s="12" t="inlineStr">
        <is>
          <t>Ticker: USSW2 Curncy</t>
        </is>
      </c>
      <c r="B5" s="12" t="inlineStr">
        <is>
          <t>USD swap 2Y LIBOR-based (pre-SOFR proxy)</t>
        </is>
      </c>
      <c r="C5" s="12" t="inlineStr">
        <is>
          <t>Ticker: USSW5 Curncy</t>
        </is>
      </c>
      <c r="D5" s="12" t="inlineStr">
        <is>
          <t>USD swap 5Y LIBOR-based</t>
        </is>
      </c>
      <c r="E5" s="12" t="inlineStr">
        <is>
          <t>Ticker: USSW10 Curncy</t>
        </is>
      </c>
      <c r="F5" s="12" t="inlineStr">
        <is>
          <t>USD swap 10Y LIBOR-based</t>
        </is>
      </c>
      <c r="G5" s="12" t="inlineStr">
        <is>
          <t>Ticker: USSW30 Curncy</t>
        </is>
      </c>
      <c r="H5" s="12" t="inlineStr">
        <is>
          <t>USD swap 30Y LIBOR-based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>
      <c r="A1" s="2" t="inlineStr">
        <is>
          <t>Categoria: SOFR_Money_Market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SOFR_ON — fecha</t>
        </is>
      </c>
      <c r="B3" s="5" t="inlineStr">
        <is>
          <t>SOFR_ON — valor</t>
        </is>
      </c>
      <c r="C3" s="5" t="inlineStr">
        <is>
          <t>SOFR_30D_AVG — fecha</t>
        </is>
      </c>
      <c r="D3" s="5" t="inlineStr">
        <is>
          <t>SOFR_30D_AVG — valor</t>
        </is>
      </c>
      <c r="E3" s="5" t="inlineStr">
        <is>
          <t>SOFR_90D_AVG — fecha</t>
        </is>
      </c>
      <c r="F3" s="5" t="inlineStr">
        <is>
          <t>SOFR_90D_AVG — valor</t>
        </is>
      </c>
      <c r="G3" s="5" t="inlineStr">
        <is>
          <t>TERM_SOFR_1M — fecha</t>
        </is>
      </c>
      <c r="H3" s="5" t="inlineStr">
        <is>
          <t>TERM_SOFR_1M — valor</t>
        </is>
      </c>
      <c r="I3" s="5" t="inlineStr">
        <is>
          <t>TERM_SOFR_3M — fecha</t>
        </is>
      </c>
      <c r="J3" s="5" t="inlineStr">
        <is>
          <t>TERM_SOFR_3M — valor</t>
        </is>
      </c>
      <c r="K3" s="5" t="inlineStr">
        <is>
          <t>TERM_SOFR_6M — fecha</t>
        </is>
      </c>
      <c r="L3" s="5" t="inlineStr">
        <is>
          <t>TERM_SOFR_6M — valor</t>
        </is>
      </c>
      <c r="M3" s="5" t="inlineStr">
        <is>
          <t>TERM_SOFR_12M — fecha</t>
        </is>
      </c>
      <c r="N3" s="5" t="inlineStr">
        <is>
          <t>TERM_SOFR_12M — valor</t>
        </is>
      </c>
    </row>
    <row r="4">
      <c r="A4" s="10">
        <f>BDH("SOFRRATE Index","PX_LAST",'01_Parametros'!$B$3,'01_Parametros'!$B$4,"Dir=V","Dts=H","Fill=B","cols=2;rows=12000")</f>
        <v/>
      </c>
      <c r="C4" s="10">
        <f>BDH("SOFR30A Index","PX_LAST",'01_Parametros'!$B$3,'01_Parametros'!$B$4,"Dir=V","Dts=H","Fill=B","cols=2;rows=12000")</f>
        <v/>
      </c>
      <c r="E4" s="10">
        <f>BDH("SOFR90A Index","PX_LAST",'01_Parametros'!$B$3,'01_Parametros'!$B$4,"Dir=V","Dts=H","Fill=B","cols=2;rows=12000")</f>
        <v/>
      </c>
      <c r="G4" s="10">
        <f>BDH("USOSFR1Z BGN Curncy","PX_LAST",'01_Parametros'!$B$3,'01_Parametros'!$B$4,"Dir=V","Dts=H","Fill=B","cols=2;rows=12000")</f>
        <v/>
      </c>
      <c r="I4" s="10">
        <f>BDH("USOSFR3Z BGN Curncy","PX_LAST",'01_Parametros'!$B$3,'01_Parametros'!$B$4,"Dir=V","Dts=H","Fill=B","cols=2;rows=12000")</f>
        <v/>
      </c>
      <c r="K4" s="10">
        <f>BDH("USOSFR6Z BGN Curncy","PX_LAST",'01_Parametros'!$B$3,'01_Parametros'!$B$4,"Dir=V","Dts=H","Fill=B","cols=2;rows=12000")</f>
        <v/>
      </c>
      <c r="M4" s="10">
        <f>BDH("USOSFR12Z BGN Curncy","PX_LAST",'01_Parametros'!$B$3,'01_Parametros'!$B$4,"Dir=V","Dts=H","Fill=B","cols=2;rows=12000")</f>
        <v/>
      </c>
    </row>
    <row r="5">
      <c r="A5" s="12" t="inlineStr">
        <is>
          <t>Ticker: SOFRRATE Index</t>
        </is>
      </c>
      <c r="B5" s="12" t="inlineStr">
        <is>
          <t>SOFR overnight - desde 2018-04</t>
        </is>
      </c>
      <c r="C5" s="12" t="inlineStr">
        <is>
          <t>Ticker: SOFR30A Index</t>
        </is>
      </c>
      <c r="D5" s="12" t="inlineStr">
        <is>
          <t>SOFR 30-day average</t>
        </is>
      </c>
      <c r="E5" s="12" t="inlineStr">
        <is>
          <t>Ticker: SOFR90A Index</t>
        </is>
      </c>
      <c r="F5" s="12" t="inlineStr">
        <is>
          <t>SOFR 90-day average</t>
        </is>
      </c>
      <c r="G5" s="12" t="inlineStr">
        <is>
          <t>Ticker: USOSFR1Z BGN Curncy</t>
        </is>
      </c>
      <c r="H5" s="12" t="inlineStr">
        <is>
          <t>Term SOFR 1M</t>
        </is>
      </c>
      <c r="I5" s="12" t="inlineStr">
        <is>
          <t>Ticker: USOSFR3Z BGN Curncy</t>
        </is>
      </c>
      <c r="J5" s="12" t="inlineStr">
        <is>
          <t>Term SOFR 3M</t>
        </is>
      </c>
      <c r="K5" s="12" t="inlineStr">
        <is>
          <t>Ticker: USOSFR6Z BGN Curncy</t>
        </is>
      </c>
      <c r="L5" s="12" t="inlineStr">
        <is>
          <t>Term SOFR 6M</t>
        </is>
      </c>
      <c r="M5" s="12" t="inlineStr">
        <is>
          <t>Ticker: USOSFR12Z BGN Curncy</t>
        </is>
      </c>
      <c r="N5" s="12" t="inlineStr">
        <is>
          <t>Term SOFR 12M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</cols>
  <sheetData>
    <row r="1">
      <c r="A1" s="2" t="inlineStr">
        <is>
          <t>Categoria: FedFunds_Policy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FED_FUNDS_UPPER — fecha</t>
        </is>
      </c>
      <c r="B3" s="5" t="inlineStr">
        <is>
          <t>FED_FUNDS_UPPER — valor</t>
        </is>
      </c>
      <c r="C3" s="5" t="inlineStr">
        <is>
          <t>FED_FUNDS_LOWER — fecha</t>
        </is>
      </c>
      <c r="D3" s="5" t="inlineStr">
        <is>
          <t>FED_FUNDS_LOWER — valor</t>
        </is>
      </c>
      <c r="E3" s="5" t="inlineStr">
        <is>
          <t>FED_FUNDS_TARGET_PRE2008 — fecha</t>
        </is>
      </c>
      <c r="F3" s="5" t="inlineStr">
        <is>
          <t>FED_FUNDS_TARGET_PRE2008 — valor</t>
        </is>
      </c>
      <c r="G3" s="5" t="inlineStr">
        <is>
          <t>EFFR — fecha</t>
        </is>
      </c>
      <c r="H3" s="5" t="inlineStr">
        <is>
          <t>EFFR — valor</t>
        </is>
      </c>
      <c r="I3" s="5" t="inlineStr">
        <is>
          <t>IORB — fecha</t>
        </is>
      </c>
      <c r="J3" s="5" t="inlineStr">
        <is>
          <t>IORB — valor</t>
        </is>
      </c>
      <c r="K3" s="5" t="inlineStr">
        <is>
          <t>ON_RRP — fecha</t>
        </is>
      </c>
      <c r="L3" s="5" t="inlineStr">
        <is>
          <t>ON_RRP — valor</t>
        </is>
      </c>
    </row>
    <row r="4">
      <c r="A4" s="10">
        <f>BDH("FDTR Index","PX_LAST",'01_Parametros'!$B$3,'01_Parametros'!$B$4,"Dir=V","Dts=H","Fill=B","cols=2;rows=12000")</f>
        <v/>
      </c>
      <c r="C4" s="10">
        <f>BDH("FDFD Index","PX_LAST",'01_Parametros'!$B$3,'01_Parametros'!$B$4,"Dir=V","Dts=H","Fill=B","cols=2;rows=12000")</f>
        <v/>
      </c>
      <c r="E4" s="10">
        <f>BDH("FEDFUND Index","PX_LAST",'01_Parametros'!$B$3,'01_Parametros'!$B$4,"Dir=V","Dts=H","Fill=B","cols=2;rows=12000")</f>
        <v/>
      </c>
      <c r="G4" s="10">
        <f>BDH("FEDL01 Index","PX_LAST",'01_Parametros'!$B$3,'01_Parametros'!$B$4,"Dir=V","Dts=H","Fill=B","cols=2;rows=12000")</f>
        <v/>
      </c>
      <c r="I4" s="10">
        <f>BDH("FRRRIORB Index","PX_LAST",'01_Parametros'!$B$3,'01_Parametros'!$B$4,"Dir=V","Dts=H","Fill=B","cols=2;rows=12000")</f>
        <v/>
      </c>
      <c r="K4" s="10">
        <f>BDH("RRPONTSY Index","PX_LAST",'01_Parametros'!$B$3,'01_Parametros'!$B$4,"Dir=V","Dts=H","Fill=B","cols=2;rows=12000")</f>
        <v/>
      </c>
    </row>
    <row r="5">
      <c r="A5" s="12" t="inlineStr">
        <is>
          <t>Ticker: FDTR Index</t>
        </is>
      </c>
      <c r="B5" s="12" t="inlineStr">
        <is>
          <t>Fed Funds Target Upper Bound (post-2008)</t>
        </is>
      </c>
      <c r="C5" s="12" t="inlineStr">
        <is>
          <t>Ticker: FDFD Index</t>
        </is>
      </c>
      <c r="D5" s="12" t="inlineStr">
        <is>
          <t>Fed Funds Target Lower Bound - confirmar</t>
        </is>
      </c>
      <c r="E5" s="12" t="inlineStr">
        <is>
          <t>Ticker: FEDFUND Index</t>
        </is>
      </c>
      <c r="F5" s="12" t="inlineStr">
        <is>
          <t>Fed Funds Target unico (pre-Dec-2008) - confirmar</t>
        </is>
      </c>
      <c r="G5" s="12" t="inlineStr">
        <is>
          <t>Ticker: FEDL01 Index</t>
        </is>
      </c>
      <c r="H5" s="12" t="inlineStr">
        <is>
          <t>Effective Fed Funds Rate</t>
        </is>
      </c>
      <c r="I5" s="12" t="inlineStr">
        <is>
          <t>Ticker: FRRRIORB Index</t>
        </is>
      </c>
      <c r="J5" s="12" t="inlineStr">
        <is>
          <t>Interest on Reserve Balances - desde 2008</t>
        </is>
      </c>
      <c r="K5" s="12" t="inlineStr">
        <is>
          <t>Ticker: RRPONTSY Index</t>
        </is>
      </c>
      <c r="L5" s="12" t="inlineStr">
        <is>
          <t>Overnight Reverse Repo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>
      <c r="A1" s="2" t="inlineStr">
        <is>
          <t>Categoria: EuroDollar_Futures_Proxy_PreSOFR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ED_1Q — fecha</t>
        </is>
      </c>
      <c r="B3" s="5" t="inlineStr">
        <is>
          <t>ED_1Q — valor</t>
        </is>
      </c>
      <c r="C3" s="5" t="inlineStr">
        <is>
          <t>ED_2Q — fecha</t>
        </is>
      </c>
      <c r="D3" s="5" t="inlineStr">
        <is>
          <t>ED_2Q — valor</t>
        </is>
      </c>
      <c r="E3" s="5" t="inlineStr">
        <is>
          <t>ED_3Q — fecha</t>
        </is>
      </c>
      <c r="F3" s="5" t="inlineStr">
        <is>
          <t>ED_3Q — valor</t>
        </is>
      </c>
      <c r="G3" s="5" t="inlineStr">
        <is>
          <t>ED_4Q — fecha</t>
        </is>
      </c>
      <c r="H3" s="5" t="inlineStr">
        <is>
          <t>ED_4Q — valor</t>
        </is>
      </c>
      <c r="I3" s="5" t="inlineStr">
        <is>
          <t>ED_5Q — fecha</t>
        </is>
      </c>
      <c r="J3" s="5" t="inlineStr">
        <is>
          <t>ED_5Q — valor</t>
        </is>
      </c>
      <c r="K3" s="5" t="inlineStr">
        <is>
          <t>ED_6Q — fecha</t>
        </is>
      </c>
      <c r="L3" s="5" t="inlineStr">
        <is>
          <t>ED_6Q — valor</t>
        </is>
      </c>
      <c r="M3" s="5" t="inlineStr">
        <is>
          <t>ED_7Q — fecha</t>
        </is>
      </c>
      <c r="N3" s="5" t="inlineStr">
        <is>
          <t>ED_7Q — valor</t>
        </is>
      </c>
      <c r="O3" s="5" t="inlineStr">
        <is>
          <t>ED_8Q — fecha</t>
        </is>
      </c>
      <c r="P3" s="5" t="inlineStr">
        <is>
          <t>ED_8Q — valor</t>
        </is>
      </c>
    </row>
    <row r="4">
      <c r="A4" s="10">
        <f>BDH("ED1 Comdty","PX_LAST",'01_Parametros'!$B$3,'01_Parametros'!$B$4,"Dir=V","Dts=H","Fill=B","cols=2;rows=12000")</f>
        <v/>
      </c>
      <c r="C4" s="10">
        <f>BDH("ED2 Comdty","PX_LAST",'01_Parametros'!$B$3,'01_Parametros'!$B$4,"Dir=V","Dts=H","Fill=B","cols=2;rows=12000")</f>
        <v/>
      </c>
      <c r="E4" s="10">
        <f>BDH("ED3 Comdty","PX_LAST",'01_Parametros'!$B$3,'01_Parametros'!$B$4,"Dir=V","Dts=H","Fill=B","cols=2;rows=12000")</f>
        <v/>
      </c>
      <c r="G4" s="10">
        <f>BDH("ED4 Comdty","PX_LAST",'01_Parametros'!$B$3,'01_Parametros'!$B$4,"Dir=V","Dts=H","Fill=B","cols=2;rows=12000")</f>
        <v/>
      </c>
      <c r="I4" s="10">
        <f>BDH("ED5 Comdty","PX_LAST",'01_Parametros'!$B$3,'01_Parametros'!$B$4,"Dir=V","Dts=H","Fill=B","cols=2;rows=12000")</f>
        <v/>
      </c>
      <c r="K4" s="10">
        <f>BDH("ED6 Comdty","PX_LAST",'01_Parametros'!$B$3,'01_Parametros'!$B$4,"Dir=V","Dts=H","Fill=B","cols=2;rows=12000")</f>
        <v/>
      </c>
      <c r="M4" s="10">
        <f>BDH("ED7 Comdty","PX_LAST",'01_Parametros'!$B$3,'01_Parametros'!$B$4,"Dir=V","Dts=H","Fill=B","cols=2;rows=12000")</f>
        <v/>
      </c>
      <c r="O4" s="10">
        <f>BDH("ED8 Comdty","PX_LAST",'01_Parametros'!$B$3,'01_Parametros'!$B$4,"Dir=V","Dts=H","Fill=B","cols=2;rows=12000")</f>
        <v/>
      </c>
    </row>
    <row r="5">
      <c r="A5" s="12" t="inlineStr">
        <is>
          <t>Ticker: ED1 Comdty</t>
        </is>
      </c>
      <c r="B5" s="12" t="inlineStr">
        <is>
          <t>EuroDollar continuous 1st quarter (pre-SOFR proxy)</t>
        </is>
      </c>
      <c r="C5" s="12" t="inlineStr">
        <is>
          <t>Ticker: ED2 Comdty</t>
        </is>
      </c>
      <c r="D5" s="12" t="inlineStr">
        <is>
          <t>EuroDollar continuous 2nd</t>
        </is>
      </c>
      <c r="E5" s="12" t="inlineStr">
        <is>
          <t>Ticker: ED3 Comdty</t>
        </is>
      </c>
      <c r="F5" s="12" t="inlineStr">
        <is>
          <t>EuroDollar continuous 3rd</t>
        </is>
      </c>
      <c r="G5" s="12" t="inlineStr">
        <is>
          <t>Ticker: ED4 Comdty</t>
        </is>
      </c>
      <c r="H5" s="12" t="inlineStr">
        <is>
          <t>EuroDollar continuous 4th</t>
        </is>
      </c>
      <c r="I5" s="12" t="inlineStr">
        <is>
          <t>Ticker: ED5 Comdty</t>
        </is>
      </c>
      <c r="J5" s="12" t="inlineStr">
        <is>
          <t>EuroDollar continuous 5th</t>
        </is>
      </c>
      <c r="K5" s="12" t="inlineStr">
        <is>
          <t>Ticker: ED6 Comdty</t>
        </is>
      </c>
      <c r="L5" s="12" t="inlineStr">
        <is>
          <t>EuroDollar continuous 6th</t>
        </is>
      </c>
      <c r="M5" s="12" t="inlineStr">
        <is>
          <t>Ticker: ED7 Comdty</t>
        </is>
      </c>
      <c r="N5" s="12" t="inlineStr">
        <is>
          <t>EuroDollar continuous 7th</t>
        </is>
      </c>
      <c r="O5" s="12" t="inlineStr">
        <is>
          <t>Ticker: ED8 Comdty</t>
        </is>
      </c>
      <c r="P5" s="12" t="inlineStr">
        <is>
          <t>EuroDollar continuous 8th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>
      <c r="A1" s="2" t="inlineStr">
        <is>
          <t>Categoria: SR3_SOFR_Futures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SR3_1Q — fecha</t>
        </is>
      </c>
      <c r="B3" s="5" t="inlineStr">
        <is>
          <t>SR3_1Q — valor</t>
        </is>
      </c>
      <c r="C3" s="5" t="inlineStr">
        <is>
          <t>SR3_2Q — fecha</t>
        </is>
      </c>
      <c r="D3" s="5" t="inlineStr">
        <is>
          <t>SR3_2Q — valor</t>
        </is>
      </c>
      <c r="E3" s="5" t="inlineStr">
        <is>
          <t>SR3_3Q — fecha</t>
        </is>
      </c>
      <c r="F3" s="5" t="inlineStr">
        <is>
          <t>SR3_3Q — valor</t>
        </is>
      </c>
      <c r="G3" s="5" t="inlineStr">
        <is>
          <t>SR3_4Q — fecha</t>
        </is>
      </c>
      <c r="H3" s="5" t="inlineStr">
        <is>
          <t>SR3_4Q — valor</t>
        </is>
      </c>
      <c r="I3" s="5" t="inlineStr">
        <is>
          <t>SR3_5Q — fecha</t>
        </is>
      </c>
      <c r="J3" s="5" t="inlineStr">
        <is>
          <t>SR3_5Q — valor</t>
        </is>
      </c>
      <c r="K3" s="5" t="inlineStr">
        <is>
          <t>SR3_6Q — fecha</t>
        </is>
      </c>
      <c r="L3" s="5" t="inlineStr">
        <is>
          <t>SR3_6Q — valor</t>
        </is>
      </c>
      <c r="M3" s="5" t="inlineStr">
        <is>
          <t>SR3_7Q — fecha</t>
        </is>
      </c>
      <c r="N3" s="5" t="inlineStr">
        <is>
          <t>SR3_7Q — valor</t>
        </is>
      </c>
      <c r="O3" s="5" t="inlineStr">
        <is>
          <t>SR3_8Q — fecha</t>
        </is>
      </c>
      <c r="P3" s="5" t="inlineStr">
        <is>
          <t>SR3_8Q — valor</t>
        </is>
      </c>
    </row>
    <row r="4">
      <c r="A4" s="10">
        <f>BDH("SFR1 Comdty","PX_LAST",'01_Parametros'!$B$3,'01_Parametros'!$B$4,"Dir=V","Dts=H","Fill=B","cols=2;rows=12000")</f>
        <v/>
      </c>
      <c r="C4" s="10">
        <f>BDH("SFR2 Comdty","PX_LAST",'01_Parametros'!$B$3,'01_Parametros'!$B$4,"Dir=V","Dts=H","Fill=B","cols=2;rows=12000")</f>
        <v/>
      </c>
      <c r="E4" s="10">
        <f>BDH("SFR3 Comdty","PX_LAST",'01_Parametros'!$B$3,'01_Parametros'!$B$4,"Dir=V","Dts=H","Fill=B","cols=2;rows=12000")</f>
        <v/>
      </c>
      <c r="G4" s="10">
        <f>BDH("SFR4 Comdty","PX_LAST",'01_Parametros'!$B$3,'01_Parametros'!$B$4,"Dir=V","Dts=H","Fill=B","cols=2;rows=12000")</f>
        <v/>
      </c>
      <c r="I4" s="10">
        <f>BDH("SFR5 Comdty","PX_LAST",'01_Parametros'!$B$3,'01_Parametros'!$B$4,"Dir=V","Dts=H","Fill=B","cols=2;rows=12000")</f>
        <v/>
      </c>
      <c r="K4" s="10">
        <f>BDH("SFR6 Comdty","PX_LAST",'01_Parametros'!$B$3,'01_Parametros'!$B$4,"Dir=V","Dts=H","Fill=B","cols=2;rows=12000")</f>
        <v/>
      </c>
      <c r="M4" s="10">
        <f>BDH("SFR7 Comdty","PX_LAST",'01_Parametros'!$B$3,'01_Parametros'!$B$4,"Dir=V","Dts=H","Fill=B","cols=2;rows=12000")</f>
        <v/>
      </c>
      <c r="O4" s="10">
        <f>BDH("SFR8 Comdty","PX_LAST",'01_Parametros'!$B$3,'01_Parametros'!$B$4,"Dir=V","Dts=H","Fill=B","cols=2;rows=12000")</f>
        <v/>
      </c>
    </row>
    <row r="5">
      <c r="A5" s="12" t="inlineStr">
        <is>
          <t>Ticker: SFR1 Comdty</t>
        </is>
      </c>
      <c r="B5" s="12" t="inlineStr">
        <is>
          <t>SOFR future month 1</t>
        </is>
      </c>
      <c r="C5" s="12" t="inlineStr">
        <is>
          <t>Ticker: SFR2 Comdty</t>
        </is>
      </c>
      <c r="D5" s="12" t="inlineStr">
        <is>
          <t>SOFR future month 2</t>
        </is>
      </c>
      <c r="E5" s="12" t="inlineStr">
        <is>
          <t>Ticker: SFR3 Comdty</t>
        </is>
      </c>
      <c r="F5" s="12" t="inlineStr">
        <is>
          <t>SOFR future month 3</t>
        </is>
      </c>
      <c r="G5" s="12" t="inlineStr">
        <is>
          <t>Ticker: SFR4 Comdty</t>
        </is>
      </c>
      <c r="H5" s="12" t="inlineStr">
        <is>
          <t>SOFR future month 4</t>
        </is>
      </c>
      <c r="I5" s="12" t="inlineStr">
        <is>
          <t>Ticker: SFR5 Comdty</t>
        </is>
      </c>
      <c r="J5" s="12" t="inlineStr">
        <is>
          <t>SOFR future month 5</t>
        </is>
      </c>
      <c r="K5" s="12" t="inlineStr">
        <is>
          <t>Ticker: SFR6 Comdty</t>
        </is>
      </c>
      <c r="L5" s="12" t="inlineStr">
        <is>
          <t>SOFR future month 6</t>
        </is>
      </c>
      <c r="M5" s="12" t="inlineStr">
        <is>
          <t>Ticker: SFR7 Comdty</t>
        </is>
      </c>
      <c r="N5" s="12" t="inlineStr">
        <is>
          <t>SOFR future month 7</t>
        </is>
      </c>
      <c r="O5" s="12" t="inlineStr">
        <is>
          <t>Ticker: SFR8 Comdty</t>
        </is>
      </c>
      <c r="P5" s="12" t="inlineStr">
        <is>
          <t>SOFR future month 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Notas del analista</t>
        </is>
      </c>
    </row>
    <row r="3">
      <c r="A3" s="13" t="inlineStr">
        <is>
          <t>Tickers que fallaron, series con gaps inesperados, sugerencias, observaciones de carga.</t>
        </is>
      </c>
    </row>
    <row r="5">
      <c r="A5" s="6" t="inlineStr">
        <is>
          <t>Tickers fallidos / corregidos</t>
        </is>
      </c>
    </row>
    <row r="6">
      <c r="A6" s="8" t="inlineStr"/>
      <c r="B6" s="8" t="inlineStr"/>
    </row>
    <row r="7">
      <c r="A7" s="8" t="inlineStr"/>
      <c r="B7" s="8" t="inlineStr"/>
    </row>
    <row r="8">
      <c r="A8" s="8" t="inlineStr"/>
      <c r="B8" s="8" t="inlineStr"/>
    </row>
    <row r="9">
      <c r="A9" s="8" t="inlineStr"/>
      <c r="B9" s="8" t="inlineStr"/>
    </row>
    <row r="10">
      <c r="A10" s="8" t="inlineStr"/>
      <c r="B10" s="8" t="inlineStr"/>
    </row>
    <row r="11">
      <c r="A11" s="8" t="inlineStr"/>
      <c r="B11" s="8" t="inlineStr"/>
    </row>
    <row r="12">
      <c r="A12" s="8" t="inlineStr"/>
      <c r="B12" s="8" t="inlineStr"/>
    </row>
    <row r="13">
      <c r="A13" s="8" t="inlineStr"/>
      <c r="B13" s="8" t="inlineStr"/>
    </row>
    <row r="14">
      <c r="A14" s="8" t="inlineStr"/>
      <c r="B14" s="8" t="inlineStr"/>
    </row>
    <row r="15">
      <c r="A15" s="8" t="inlineStr"/>
      <c r="B15" s="8" t="inlineStr"/>
    </row>
    <row r="16">
      <c r="A16" s="8" t="inlineStr"/>
      <c r="B16" s="8" t="inlineStr"/>
    </row>
    <row r="17">
      <c r="A17" s="8" t="inlineStr"/>
      <c r="B17" s="8" t="inlineStr"/>
    </row>
    <row r="18">
      <c r="A18" s="8" t="inlineStr"/>
      <c r="B18" s="8" t="inlineStr"/>
    </row>
    <row r="19">
      <c r="A19" s="8" t="inlineStr"/>
      <c r="B19" s="8" t="inlineStr"/>
    </row>
    <row r="21">
      <c r="A21" s="6" t="inlineStr">
        <is>
          <t>Series con datos faltantes inesperados</t>
        </is>
      </c>
    </row>
    <row r="22">
      <c r="A22" s="8" t="inlineStr"/>
    </row>
    <row r="23">
      <c r="A23" s="8" t="inlineStr"/>
    </row>
    <row r="24">
      <c r="A24" s="8" t="inlineStr"/>
    </row>
    <row r="25">
      <c r="A25" s="8" t="inlineStr"/>
    </row>
    <row r="26">
      <c r="A26" s="8" t="inlineStr"/>
    </row>
    <row r="27">
      <c r="A27" s="8" t="inlineStr"/>
    </row>
    <row r="28">
      <c r="A28" s="8" t="inlineStr"/>
    </row>
    <row r="29">
      <c r="A29" s="8" t="inlineStr"/>
    </row>
    <row r="31">
      <c r="A31" s="6" t="inlineStr">
        <is>
          <t>Observaciones de carga</t>
        </is>
      </c>
    </row>
    <row r="32">
      <c r="A32" s="8" t="inlineStr"/>
    </row>
    <row r="33">
      <c r="A33" s="8" t="inlineStr"/>
    </row>
    <row r="34">
      <c r="A34" s="8" t="inlineStr"/>
    </row>
    <row r="35">
      <c r="A35" s="8" t="inlineStr"/>
    </row>
    <row r="36">
      <c r="A36" s="8" t="inlineStr"/>
    </row>
    <row r="37">
      <c r="A37" s="8" t="inlineStr"/>
    </row>
    <row r="38">
      <c r="A38" s="8" t="inlineStr"/>
    </row>
    <row r="39">
      <c r="A39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devolver este archivo</t>
        </is>
      </c>
    </row>
    <row r="2">
      <c r="A2" t="inlineStr"/>
    </row>
    <row r="3">
      <c r="A3" s="2" t="inlineStr">
        <is>
          <t>OPCION 1 — Recomendada — Upload directo a GitHub (web)</t>
        </is>
      </c>
    </row>
    <row r="4">
      <c r="A4" s="14" t="inlineStr">
        <is>
          <t>1. Guardar con sufijo FULL o ALT_20Y segun corresponda.</t>
        </is>
      </c>
    </row>
    <row r="5">
      <c r="A5" s="14" t="inlineStr">
        <is>
          <t>2. Ir a github.com/andresborrerom/credito_Panama, branch claude/tasas-mercantil-report-Q8sFt.</t>
        </is>
      </c>
    </row>
    <row r="6">
      <c r="A6" s="14" t="inlineStr">
        <is>
          <t>3. Navegar a ProyectoTasasMercantil/plantilla_bloomberg/historico/.</t>
        </is>
      </c>
    </row>
    <row r="7">
      <c r="A7" s="14" t="inlineStr">
        <is>
          <t>4. Add file -&gt; Upload files -&gt; arrastrar el xlsx.</t>
        </is>
      </c>
    </row>
    <row r="8">
      <c r="A8" s="14" t="inlineStr">
        <is>
          <t>5. Commit message: 'historico: carga Bloomberg &lt;FULL|ALT_20Y&gt; por &lt;analista&gt;'.</t>
        </is>
      </c>
    </row>
    <row r="9">
      <c r="A9" t="inlineStr"/>
    </row>
    <row r="10">
      <c r="A10" s="2" t="inlineStr">
        <is>
          <t>OPCION 2 — Correo</t>
        </is>
      </c>
    </row>
    <row r="11">
      <c r="A11" s="14" t="inlineStr">
        <is>
          <t>Adjuntar y mandar a Andres. Asunto: 'Tasas Mercantil — Carga historica Bloomberg &lt;FULL|ALT_20Y&gt;'.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2026-05-28T16:28:05Z</dcterms:created>
  <dcterms:modified xsi:type="dcterms:W3CDTF">2026-05-28T16:28:05Z</dcterms:modified>
</cp:coreProperties>
</file>