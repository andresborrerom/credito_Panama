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Parametros" sheetId="2" state="visible" r:id="rId2"/>
    <sheet xmlns:r="http://schemas.openxmlformats.org/officeDocument/2006/relationships" name="02_Datos" sheetId="3" state="visible" r:id="rId3"/>
    <sheet xmlns:r="http://schemas.openxmlformats.org/officeDocument/2006/relationships" name="03_SOFR_Futures" sheetId="4" state="visible" r:id="rId4"/>
    <sheet xmlns:r="http://schemas.openxmlformats.org/officeDocument/2006/relationships" name="04_FedWatch" sheetId="5" state="visible" r:id="rId5"/>
    <sheet xmlns:r="http://schemas.openxmlformats.org/officeDocument/2006/relationships" name="05_Notas_Analista" sheetId="6" state="visible" r:id="rId6"/>
    <sheet xmlns:r="http://schemas.openxmlformats.org/officeDocument/2006/relationships" name="99_Env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b val="1"/>
      <color rgb="001F3A5F"/>
      <sz val="16"/>
    </font>
    <font>
      <b val="1"/>
      <color rgb="001F3A5F"/>
      <sz val="12"/>
    </font>
    <font>
      <sz val="10"/>
    </font>
    <font>
      <b val="1"/>
      <color rgb="001F3A5F"/>
      <sz val="14"/>
    </font>
    <font>
      <b val="1"/>
      <color rgb="00FFFFFF"/>
      <sz val="11"/>
    </font>
    <font>
      <b val="1"/>
    </font>
    <font>
      <i val="1"/>
      <color rgb="00666666"/>
    </font>
    <font>
      <i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4FF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6" fillId="0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3" borderId="0" pivotButton="0" quotePrefix="0" xfId="0"/>
    <xf numFmtId="0" fontId="7" fillId="0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Plantilla Bloomberg — Reporte Mensual de Tasas Mercantil</t>
        </is>
      </c>
    </row>
    <row r="2">
      <c r="A2" t="inlineStr"/>
    </row>
    <row r="3">
      <c r="A3" s="2" t="inlineStr">
        <is>
          <t>Que es esto</t>
        </is>
      </c>
    </row>
    <row r="4">
      <c r="A4" s="3" t="inlineStr">
        <is>
          <t>Plantilla que se corre cada mes para extraer datos de Bloomberg al cierre del ultimo dia habil.</t>
        </is>
      </c>
    </row>
    <row r="5">
      <c r="A5" s="3" t="inlineStr">
        <is>
          <t>Output: este mismo archivo con valores cuajados (no formulas vivas).</t>
        </is>
      </c>
    </row>
    <row r="6">
      <c r="A6" t="inlineStr"/>
    </row>
    <row r="7">
      <c r="A7" s="2" t="inlineStr">
        <is>
          <t>LECCION DEL PROYECTO HERMANO (mercantil-saa) — IMPORTANTE</t>
        </is>
      </c>
    </row>
    <row r="8">
      <c r="A8" s="3" t="inlineStr">
        <is>
          <t>NO usar 'today' como string en formulas BDH (=BDH(...,'today',...)).</t>
        </is>
      </c>
    </row>
    <row r="9">
      <c r="A9" s="3" t="inlineStr">
        <is>
          <t>NO usar =TODAY() en ninguna celda del archivo.</t>
        </is>
      </c>
    </row>
    <row r="10">
      <c r="A10" s="3" t="inlineStr">
        <is>
          <t>Ambos se RECALCULAN al reabrir el archivo y rompen la reproducibilidad: los datos del</t>
        </is>
      </c>
    </row>
    <row r="11">
      <c r="A11" s="3" t="inlineStr">
        <is>
          <t>snapshot del cierre de mes pueden mutarse a la fecha en que alguien lo abre semanas despues.</t>
        </is>
      </c>
    </row>
    <row r="12">
      <c r="A12" s="3" t="inlineStr">
        <is>
          <t>La plantilla esta diseñada para evitar esto: todas las formulas referencian la celda AS_OF de</t>
        </is>
      </c>
    </row>
    <row r="13">
      <c r="A13" s="3" t="inlineStr">
        <is>
          <t>la hoja 01_Parametros, que es input manual fijo. Aun asi, el paso de Paste Special -&gt; Values</t>
        </is>
      </c>
    </row>
    <row r="14">
      <c r="A14" s="3" t="inlineStr">
        <is>
          <t>antes de devolver el archivo es OBLIGATORIO. Vea el paso 9 abajo.</t>
        </is>
      </c>
    </row>
    <row r="15">
      <c r="A15" t="inlineStr"/>
    </row>
    <row r="16">
      <c r="A16" s="2" t="inlineStr">
        <is>
          <t>Como usarlo (paso a paso)</t>
        </is>
      </c>
    </row>
    <row r="17">
      <c r="A17" s="3" t="inlineStr">
        <is>
          <t>1. Abrir el archivo en Excel con Bloomberg add-in activo.</t>
        </is>
      </c>
    </row>
    <row r="18">
      <c r="A18" s="3" t="inlineStr">
        <is>
          <t>2. Ir a la hoja '01_Parametros' y EDITAR la celda B3 (AS_OF) al ultimo dia habil del mes a reportar.</t>
        </is>
      </c>
    </row>
    <row r="19">
      <c r="A19" s="3" t="inlineStr">
        <is>
          <t xml:space="preserve">   El resto de fechas (mes anterior, cierre año anterior, inicio 12M) se calculan solas.</t>
        </is>
      </c>
    </row>
    <row r="20">
      <c r="A20" s="3" t="inlineStr">
        <is>
          <t>3. Escribir ANALISTA (B8), FECHA_CARGA (B9, fecha en que estas corriendo Bloomberg).</t>
        </is>
      </c>
    </row>
    <row r="21">
      <c r="A21" s="3" t="inlineStr">
        <is>
          <t>4. Esperar a que las formulas resuelvan (puede tomar 30-90 segundos en la primera carga).</t>
        </is>
      </c>
    </row>
    <row r="22">
      <c r="A22" s="3" t="inlineStr">
        <is>
          <t>5. Verificar que NO haya celdas '#N/A Requesting Data' visibles. Si las hay:</t>
        </is>
      </c>
    </row>
    <row r="23">
      <c r="A23" s="3" t="inlineStr">
        <is>
          <t xml:space="preserve">   - Revisar conexion Bloomberg.</t>
        </is>
      </c>
    </row>
    <row r="24">
      <c r="A24" s="3" t="inlineStr">
        <is>
          <t xml:space="preserve">   - Si un ticker especifico esta marcado 'confirmar ticker' en la columna 'nota', es posible que ese ticker</t>
        </is>
      </c>
    </row>
    <row r="25">
      <c r="A25" s="3" t="inlineStr">
        <is>
          <t xml:space="preserve">     en particular requiera ajuste. Avisar a Andres/Camilo si pasa esto.</t>
        </is>
      </c>
    </row>
    <row r="26">
      <c r="A26" s="3" t="inlineStr">
        <is>
          <t>6. Ir a la hoja '04_FedWatch' y completar la tabla MANUALMENTE con paste desde la pantalla WIRP.</t>
        </is>
      </c>
    </row>
    <row r="27">
      <c r="A27" s="3" t="inlineStr">
        <is>
          <t>7. Llenar la hoja '05_Notas_Analista' con cualquier anomalia o cambio de contexto observado.</t>
        </is>
      </c>
    </row>
    <row r="28">
      <c r="A28" s="3" t="inlineStr">
        <is>
          <t>8. CRITICO — Paste Special -&gt; Values: una vez resueltas las formulas, ir a cada hoja de datos</t>
        </is>
      </c>
    </row>
    <row r="29">
      <c r="A29" s="3" t="inlineStr">
        <is>
          <t xml:space="preserve">   (02_Datos, 03_SOFR_Futures, 04_FedWatch) y hacer:</t>
        </is>
      </c>
    </row>
    <row r="30">
      <c r="A30" s="3" t="inlineStr">
        <is>
          <t xml:space="preserve">     a. Ctrl+A (seleccionar todo)</t>
        </is>
      </c>
    </row>
    <row r="31">
      <c r="A31" s="3" t="inlineStr">
        <is>
          <t xml:space="preserve">     b. Ctrl+C (copiar)</t>
        </is>
      </c>
    </row>
    <row r="32">
      <c r="A32" s="3" t="inlineStr">
        <is>
          <t xml:space="preserve">     c. Edit -&gt; Paste Special -&gt; Values (Alt+E, S, V en Excel clasico; o boton 'Pegar valores' en cinta)</t>
        </is>
      </c>
    </row>
    <row r="33">
      <c r="A33" s="3" t="inlineStr">
        <is>
          <t xml:space="preserve">   Esto reemplaza las formulas =BDH(...) por sus valores literales y CONGELA el snapshot.</t>
        </is>
      </c>
    </row>
    <row r="34">
      <c r="A34" s="3" t="inlineStr">
        <is>
          <t xml:space="preserve">   Si no haces esto, cuando otra persona abra el archivo sin Bloomberg veran #N/A en todas las celdas.</t>
        </is>
      </c>
    </row>
    <row r="35">
      <c r="A35" s="3" t="inlineStr">
        <is>
          <t>9. Escribir FECHA_GUARDADO_VALUES (B10) — la fecha del paso 8.</t>
        </is>
      </c>
    </row>
    <row r="36">
      <c r="A36" s="3" t="inlineStr">
        <is>
          <t>10. Guardar el archivo con el nombre: BloombergTemplate_TasasMercantil_&lt;YYYY-MM&gt;.xlsx</t>
        </is>
      </c>
    </row>
    <row r="37">
      <c r="A37" s="3" t="inlineStr">
        <is>
          <t>11. Devolverlo por correo o subirlo directamente a GitHub (instrucciones en hoja '99_Envio').</t>
        </is>
      </c>
    </row>
    <row r="38">
      <c r="A38" t="inlineStr"/>
    </row>
    <row r="39">
      <c r="A39" s="2" t="inlineStr">
        <is>
          <t>Notas tecnicas</t>
        </is>
      </c>
    </row>
    <row r="40">
      <c r="A40" s="3" t="inlineStr">
        <is>
          <t>- Las formulas BDH devuelven valores con fill backward: si la fecha cae feriado, toma el dia habil anterior.</t>
        </is>
      </c>
    </row>
    <row r="41">
      <c r="A41" s="3" t="inlineStr">
        <is>
          <t>- En Excel 365 (dynamic arrays) las formulas funcionan tal cual.</t>
        </is>
      </c>
    </row>
    <row r="42">
      <c r="A42" s="3" t="inlineStr">
        <is>
          <t>- En Excel 2019 o anterior puede que tengas que entrar en cada celda con formula y hacer Ctrl+Shift+Enter.</t>
        </is>
      </c>
    </row>
    <row r="43">
      <c r="A43" s="3" t="inlineStr">
        <is>
          <t>- Los tickers marcados con '— confirmar' son inferencias del que armo la plantilla; si Bloomberg los rechaza,</t>
        </is>
      </c>
    </row>
    <row r="44">
      <c r="A44" s="3" t="inlineStr">
        <is>
          <t xml:space="preserve">  el analista debe sugerir el ticker correcto y marcarlo en '05_Notas_Analista'.</t>
        </is>
      </c>
    </row>
    <row r="45">
      <c r="A45" t="inlineStr"/>
    </row>
    <row r="46">
      <c r="A46" s="2" t="inlineStr">
        <is>
          <t>Que NO viene por aqui (no perder tiempo buscandolo)</t>
        </is>
      </c>
    </row>
    <row r="47">
      <c r="A47" s="3" t="inlineStr">
        <is>
          <t>- Tipo de cambio bolivar paralelo Venezuela: lo extraemos via scraper publico, no Bloomberg.</t>
        </is>
      </c>
    </row>
    <row r="48">
      <c r="A48" s="3" t="inlineStr">
        <is>
          <t>- Probabilidades FedWatch implicitas: van en hoja '04_FedWatch' como paste manual desde WIRP.</t>
        </is>
      </c>
    </row>
    <row r="49">
      <c r="A49" s="3" t="inlineStr">
        <is>
          <t>- Dot plot SEP de la Fed: se actualiza solo 4 veces al año, lo cargamos nosotros tras cada FOMC.</t>
        </is>
      </c>
    </row>
    <row r="50">
      <c r="A50" s="3" t="inlineStr">
        <is>
          <t>- Datos internos del libro del banco: fuera del alcance de esta plantilla (ver docs del proyecto).</t>
        </is>
      </c>
    </row>
    <row r="51">
      <c r="A51" t="inlineStr"/>
    </row>
    <row r="52">
      <c r="A52" s="2" t="inlineStr">
        <is>
          <t>Tiempo estimado</t>
        </is>
      </c>
    </row>
    <row r="53">
      <c r="A53" s="3" t="inlineStr">
        <is>
          <t>Carga de formulas BDH: 30-90 segundos en la primera vez; &lt;10 seg con cache.</t>
        </is>
      </c>
    </row>
    <row r="54">
      <c r="A54" s="3" t="inlineStr">
        <is>
          <t>Paste Special -&gt; Values (paso 8): 1-2 minutos para las 3 hojas de datos.</t>
        </is>
      </c>
    </row>
    <row r="55">
      <c r="A55" s="3" t="inlineStr">
        <is>
          <t>Total: ~5 minutos por corte.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72" customWidth="1" min="4" max="4"/>
  </cols>
  <sheetData>
    <row r="1">
      <c r="A1" s="4" t="inlineStr">
        <is>
          <t>Parametros del corte</t>
        </is>
      </c>
    </row>
    <row r="2">
      <c r="A2" s="5" t="inlineStr">
        <is>
          <t>Parametro</t>
        </is>
      </c>
      <c r="B2" s="5" t="inlineStr">
        <is>
          <t>Valor</t>
        </is>
      </c>
      <c r="C2" s="5" t="inlineStr">
        <is>
          <t>Tipo</t>
        </is>
      </c>
      <c r="D2" s="5" t="inlineStr">
        <is>
          <t>Descripcion</t>
        </is>
      </c>
    </row>
    <row r="3">
      <c r="A3" s="6" t="inlineStr">
        <is>
          <t>AS_OF</t>
        </is>
      </c>
      <c r="B3" s="7" t="n"/>
      <c r="C3" t="inlineStr">
        <is>
          <t>input</t>
        </is>
      </c>
      <c r="D3" t="inlineStr">
        <is>
          <t>Ultimo dia habil del mes a reportar — EDITAR esta celda</t>
        </is>
      </c>
    </row>
    <row r="4">
      <c r="A4" s="6" t="inlineStr">
        <is>
          <t>MES_REPORTE</t>
        </is>
      </c>
      <c r="B4" s="8">
        <f>TEXT(B3,"yyyy-mm")</f>
        <v/>
      </c>
      <c r="C4" t="inlineStr">
        <is>
          <t>auto</t>
        </is>
      </c>
      <c r="D4" t="inlineStr">
        <is>
          <t>YYYY-MM del corte</t>
        </is>
      </c>
    </row>
    <row r="5">
      <c r="A5" s="6" t="inlineStr">
        <is>
          <t>MES_ANT</t>
        </is>
      </c>
      <c r="B5" s="9">
        <f>EOMONTH(B3,-1)</f>
        <v/>
      </c>
      <c r="C5" t="inlineStr">
        <is>
          <t>auto</t>
        </is>
      </c>
      <c r="D5" t="inlineStr">
        <is>
          <t>Ultimo dia del mes anterior</t>
        </is>
      </c>
    </row>
    <row r="6">
      <c r="A6" s="6" t="inlineStr">
        <is>
          <t>YE_ANT</t>
        </is>
      </c>
      <c r="B6" s="9">
        <f>DATE(YEAR(B3)-1,12,31)</f>
        <v/>
      </c>
      <c r="C6" t="inlineStr">
        <is>
          <t>auto</t>
        </is>
      </c>
      <c r="D6" t="inlineStr">
        <is>
          <t>31-dic del año anterior</t>
        </is>
      </c>
    </row>
    <row r="7">
      <c r="A7" s="6" t="inlineStr">
        <is>
          <t>INI_12M</t>
        </is>
      </c>
      <c r="B7" s="9">
        <f>EDATE(B3,-12)</f>
        <v/>
      </c>
      <c r="C7" t="inlineStr">
        <is>
          <t>auto</t>
        </is>
      </c>
      <c r="D7" t="inlineStr">
        <is>
          <t>12 meses antes de AS_OF</t>
        </is>
      </c>
    </row>
    <row r="8">
      <c r="A8" s="6" t="inlineStr">
        <is>
          <t>ANALISTA</t>
        </is>
      </c>
      <c r="B8" s="10" t="n"/>
      <c r="C8" t="inlineStr">
        <is>
          <t>input</t>
        </is>
      </c>
      <c r="D8" t="inlineStr">
        <is>
          <t>Nombre del analista que corre la plantilla</t>
        </is>
      </c>
    </row>
    <row r="9">
      <c r="A9" s="6" t="inlineStr">
        <is>
          <t>FECHA_CARGA</t>
        </is>
      </c>
      <c r="B9" s="7" t="n"/>
      <c r="C9" t="inlineStr">
        <is>
          <t>input</t>
        </is>
      </c>
      <c r="D9" t="inlineStr">
        <is>
          <t>Fecha en que se cargaron los datos — ESCRIBIR a mano (NO =TODAY())</t>
        </is>
      </c>
    </row>
    <row r="10">
      <c r="A10" s="6" t="inlineStr">
        <is>
          <t>FECHA_GUARDADO_VALUES</t>
        </is>
      </c>
      <c r="B10" s="7" t="n"/>
      <c r="C10" t="inlineStr">
        <is>
          <t>input</t>
        </is>
      </c>
      <c r="D10" t="inlineStr">
        <is>
          <t>Fecha en que se hizo Paste Special -&gt; Values — ESCRIBIR a mano</t>
        </is>
      </c>
    </row>
    <row r="11">
      <c r="A11" s="6" t="inlineStr">
        <is>
          <t>BBG_UUID</t>
        </is>
      </c>
      <c r="B11" s="10" t="n"/>
      <c r="C11" t="inlineStr">
        <is>
          <t>input</t>
        </is>
      </c>
      <c r="D11" t="inlineStr">
        <is>
          <t>BBG UUID (opcional)</t>
        </is>
      </c>
    </row>
    <row r="12">
      <c r="A12" s="6" t="inlineStr">
        <is>
          <t>NOTAS_RAPIDAS</t>
        </is>
      </c>
      <c r="B12" s="10" t="n"/>
      <c r="C12" t="inlineStr">
        <is>
          <t>input</t>
        </is>
      </c>
      <c r="D12" t="inlineStr">
        <is>
          <t>Cualquier anomalia detectada al cargar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26" customWidth="1" min="4" max="4"/>
    <col width="12" customWidth="1" min="5" max="5"/>
    <col width="6" customWidth="1" min="6" max="6"/>
    <col width="22" customWidth="1" min="7" max="7"/>
    <col width="22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50" customWidth="1" min="14" max="14"/>
  </cols>
  <sheetData>
    <row r="1" ht="22" customHeight="1">
      <c r="A1" s="5" t="inlineStr">
        <is>
          <t>#</t>
        </is>
      </c>
      <c r="B1" s="5" t="inlineStr">
        <is>
          <t>categoria</t>
        </is>
      </c>
      <c r="C1" s="5" t="inlineStr">
        <is>
          <t>region</t>
        </is>
      </c>
      <c r="D1" s="5" t="inlineStr">
        <is>
          <t>instrument</t>
        </is>
      </c>
      <c r="E1" s="5" t="inlineStr">
        <is>
          <t>tenor_label</t>
        </is>
      </c>
      <c r="F1" s="5" t="inlineStr">
        <is>
          <t>tenor_years</t>
        </is>
      </c>
      <c r="G1" s="5" t="inlineStr">
        <is>
          <t>ticker</t>
        </is>
      </c>
      <c r="H1" s="5" t="inlineStr">
        <is>
          <t>field</t>
        </is>
      </c>
      <c r="I1" s="5" t="inlineStr">
        <is>
          <t>unit</t>
        </is>
      </c>
      <c r="J1" s="5" t="inlineStr">
        <is>
          <t>val_AS_OF</t>
        </is>
      </c>
      <c r="K1" s="5" t="inlineStr">
        <is>
          <t>val_MES_ANT</t>
        </is>
      </c>
      <c r="L1" s="5" t="inlineStr">
        <is>
          <t>val_YE_ANT</t>
        </is>
      </c>
      <c r="M1" s="5" t="inlineStr">
        <is>
          <t>val_INI_12M</t>
        </is>
      </c>
      <c r="N1" s="5" t="inlineStr">
        <is>
          <t>nota</t>
        </is>
      </c>
    </row>
    <row r="2">
      <c r="A2" t="n">
        <v>1</v>
      </c>
      <c r="B2" t="inlineStr">
        <is>
          <t>policy</t>
        </is>
      </c>
      <c r="C2" t="inlineStr">
        <is>
          <t>US</t>
        </is>
      </c>
      <c r="D2" t="inlineStr">
        <is>
          <t>FED_FUNDS_UPPER</t>
        </is>
      </c>
      <c r="E2" t="inlineStr">
        <is>
          <t>—</t>
        </is>
      </c>
      <c r="F2" t="n">
        <v>0</v>
      </c>
      <c r="G2" t="inlineStr">
        <is>
          <t>FDTR Index</t>
        </is>
      </c>
      <c r="H2" t="inlineStr">
        <is>
          <t>PX_LAST</t>
        </is>
      </c>
      <c r="I2" t="inlineStr">
        <is>
          <t>percent</t>
        </is>
      </c>
      <c r="J2" s="8">
        <f>IFERROR(INDEX(BDH($G$2,$H$2,'01_Parametros'!$B$3,'01_Parametros'!$B$3,"Days=A","Fill=B","Dir=H"),1,2),BDH($G$2,$H$2,'01_Parametros'!$B$3,'01_Parametros'!$B$3,"Days=A","Fill=B"))</f>
        <v/>
      </c>
      <c r="K2" s="8">
        <f>IFERROR(INDEX(BDH($G$2,$H$2,'01_Parametros'!$B$5,'01_Parametros'!$B$5,"Days=A","Fill=B","Dir=H"),1,2),BDH($G$2,$H$2,'01_Parametros'!$B$5,'01_Parametros'!$B$5,"Days=A","Fill=B"))</f>
        <v/>
      </c>
      <c r="L2" s="8">
        <f>IFERROR(INDEX(BDH($G$2,$H$2,'01_Parametros'!$B$6,'01_Parametros'!$B$6,"Days=A","Fill=B","Dir=H"),1,2),BDH($G$2,$H$2,'01_Parametros'!$B$6,'01_Parametros'!$B$6,"Days=A","Fill=B"))</f>
        <v/>
      </c>
      <c r="M2" s="8">
        <f>IFERROR(INDEX(BDH($G$2,$H$2,'01_Parametros'!$B$7,'01_Parametros'!$B$7,"Days=A","Fill=B","Dir=H"),1,2),BDH($G$2,$H$2,'01_Parametros'!$B$7,'01_Parametros'!$B$7,"Days=A","Fill=B"))</f>
        <v/>
      </c>
      <c r="N2" t="inlineStr">
        <is>
          <t>Fed Funds Target Upper Bound</t>
        </is>
      </c>
    </row>
    <row r="3">
      <c r="A3" t="n">
        <v>2</v>
      </c>
      <c r="B3" t="inlineStr">
        <is>
          <t>policy</t>
        </is>
      </c>
      <c r="C3" t="inlineStr">
        <is>
          <t>US</t>
        </is>
      </c>
      <c r="D3" t="inlineStr">
        <is>
          <t>FED_FUNDS_LOWER</t>
        </is>
      </c>
      <c r="E3" t="inlineStr">
        <is>
          <t>—</t>
        </is>
      </c>
      <c r="F3" t="n">
        <v>0</v>
      </c>
      <c r="G3" t="inlineStr">
        <is>
          <t>FDFD Index</t>
        </is>
      </c>
      <c r="H3" t="inlineStr">
        <is>
          <t>PX_LAST</t>
        </is>
      </c>
      <c r="I3" t="inlineStr">
        <is>
          <t>percent</t>
        </is>
      </c>
      <c r="J3" s="8">
        <f>IFERROR(INDEX(BDH($G$3,$H$3,'01_Parametros'!$B$3,'01_Parametros'!$B$3,"Days=A","Fill=B","Dir=H"),1,2),BDH($G$3,$H$3,'01_Parametros'!$B$3,'01_Parametros'!$B$3,"Days=A","Fill=B"))</f>
        <v/>
      </c>
      <c r="K3" s="8">
        <f>IFERROR(INDEX(BDH($G$3,$H$3,'01_Parametros'!$B$5,'01_Parametros'!$B$5,"Days=A","Fill=B","Dir=H"),1,2),BDH($G$3,$H$3,'01_Parametros'!$B$5,'01_Parametros'!$B$5,"Days=A","Fill=B"))</f>
        <v/>
      </c>
      <c r="L3" s="8">
        <f>IFERROR(INDEX(BDH($G$3,$H$3,'01_Parametros'!$B$6,'01_Parametros'!$B$6,"Days=A","Fill=B","Dir=H"),1,2),BDH($G$3,$H$3,'01_Parametros'!$B$6,'01_Parametros'!$B$6,"Days=A","Fill=B"))</f>
        <v/>
      </c>
      <c r="M3" s="8">
        <f>IFERROR(INDEX(BDH($G$3,$H$3,'01_Parametros'!$B$7,'01_Parametros'!$B$7,"Days=A","Fill=B","Dir=H"),1,2),BDH($G$3,$H$3,'01_Parametros'!$B$7,'01_Parametros'!$B$7,"Days=A","Fill=B"))</f>
        <v/>
      </c>
      <c r="N3" t="inlineStr">
        <is>
          <t>Fed Funds Target Lower Bound — confirmar ticker</t>
        </is>
      </c>
    </row>
    <row r="4">
      <c r="A4" t="n">
        <v>3</v>
      </c>
      <c r="B4" t="inlineStr">
        <is>
          <t>policy</t>
        </is>
      </c>
      <c r="C4" t="inlineStr">
        <is>
          <t>US</t>
        </is>
      </c>
      <c r="D4" t="inlineStr">
        <is>
          <t>EFFR</t>
        </is>
      </c>
      <c r="E4" t="inlineStr">
        <is>
          <t>ON</t>
        </is>
      </c>
      <c r="F4" t="n">
        <v>0</v>
      </c>
      <c r="G4" t="inlineStr">
        <is>
          <t>FEDL01 Index</t>
        </is>
      </c>
      <c r="H4" t="inlineStr">
        <is>
          <t>PX_LAST</t>
        </is>
      </c>
      <c r="I4" t="inlineStr">
        <is>
          <t>percent</t>
        </is>
      </c>
      <c r="J4" s="8">
        <f>IFERROR(INDEX(BDH($G$4,$H$4,'01_Parametros'!$B$3,'01_Parametros'!$B$3,"Days=A","Fill=B","Dir=H"),1,2),BDH($G$4,$H$4,'01_Parametros'!$B$3,'01_Parametros'!$B$3,"Days=A","Fill=B"))</f>
        <v/>
      </c>
      <c r="K4" s="8">
        <f>IFERROR(INDEX(BDH($G$4,$H$4,'01_Parametros'!$B$5,'01_Parametros'!$B$5,"Days=A","Fill=B","Dir=H"),1,2),BDH($G$4,$H$4,'01_Parametros'!$B$5,'01_Parametros'!$B$5,"Days=A","Fill=B"))</f>
        <v/>
      </c>
      <c r="L4" s="8">
        <f>IFERROR(INDEX(BDH($G$4,$H$4,'01_Parametros'!$B$6,'01_Parametros'!$B$6,"Days=A","Fill=B","Dir=H"),1,2),BDH($G$4,$H$4,'01_Parametros'!$B$6,'01_Parametros'!$B$6,"Days=A","Fill=B"))</f>
        <v/>
      </c>
      <c r="M4" s="8">
        <f>IFERROR(INDEX(BDH($G$4,$H$4,'01_Parametros'!$B$7,'01_Parametros'!$B$7,"Days=A","Fill=B","Dir=H"),1,2),BDH($G$4,$H$4,'01_Parametros'!$B$7,'01_Parametros'!$B$7,"Days=A","Fill=B"))</f>
        <v/>
      </c>
      <c r="N4" t="inlineStr">
        <is>
          <t>Effective Fed Funds Rate</t>
        </is>
      </c>
    </row>
    <row r="5">
      <c r="A5" t="n">
        <v>4</v>
      </c>
      <c r="B5" t="inlineStr">
        <is>
          <t>policy</t>
        </is>
      </c>
      <c r="C5" t="inlineStr">
        <is>
          <t>US</t>
        </is>
      </c>
      <c r="D5" t="inlineStr">
        <is>
          <t>IORB</t>
        </is>
      </c>
      <c r="E5" t="inlineStr">
        <is>
          <t>—</t>
        </is>
      </c>
      <c r="F5" t="n">
        <v>0</v>
      </c>
      <c r="G5" t="inlineStr">
        <is>
          <t>FRRRIORB Index</t>
        </is>
      </c>
      <c r="H5" t="inlineStr">
        <is>
          <t>PX_LAST</t>
        </is>
      </c>
      <c r="I5" t="inlineStr">
        <is>
          <t>percent</t>
        </is>
      </c>
      <c r="J5" s="8">
        <f>IFERROR(INDEX(BDH($G$5,$H$5,'01_Parametros'!$B$3,'01_Parametros'!$B$3,"Days=A","Fill=B","Dir=H"),1,2),BDH($G$5,$H$5,'01_Parametros'!$B$3,'01_Parametros'!$B$3,"Days=A","Fill=B"))</f>
        <v/>
      </c>
      <c r="K5" s="8">
        <f>IFERROR(INDEX(BDH($G$5,$H$5,'01_Parametros'!$B$5,'01_Parametros'!$B$5,"Days=A","Fill=B","Dir=H"),1,2),BDH($G$5,$H$5,'01_Parametros'!$B$5,'01_Parametros'!$B$5,"Days=A","Fill=B"))</f>
        <v/>
      </c>
      <c r="L5" s="8">
        <f>IFERROR(INDEX(BDH($G$5,$H$5,'01_Parametros'!$B$6,'01_Parametros'!$B$6,"Days=A","Fill=B","Dir=H"),1,2),BDH($G$5,$H$5,'01_Parametros'!$B$6,'01_Parametros'!$B$6,"Days=A","Fill=B"))</f>
        <v/>
      </c>
      <c r="M5" s="8">
        <f>IFERROR(INDEX(BDH($G$5,$H$5,'01_Parametros'!$B$7,'01_Parametros'!$B$7,"Days=A","Fill=B","Dir=H"),1,2),BDH($G$5,$H$5,'01_Parametros'!$B$7,'01_Parametros'!$B$7,"Days=A","Fill=B"))</f>
        <v/>
      </c>
      <c r="N5" t="inlineStr">
        <is>
          <t>Interest on Reserve Balances</t>
        </is>
      </c>
    </row>
    <row r="6">
      <c r="A6" t="n">
        <v>5</v>
      </c>
      <c r="B6" t="inlineStr">
        <is>
          <t>policy</t>
        </is>
      </c>
      <c r="C6" t="inlineStr">
        <is>
          <t>US</t>
        </is>
      </c>
      <c r="D6" t="inlineStr">
        <is>
          <t>ON_RRP</t>
        </is>
      </c>
      <c r="E6" t="inlineStr">
        <is>
          <t>ON</t>
        </is>
      </c>
      <c r="F6" t="n">
        <v>0</v>
      </c>
      <c r="G6" t="inlineStr">
        <is>
          <t>RRPONTSY Index</t>
        </is>
      </c>
      <c r="H6" t="inlineStr">
        <is>
          <t>PX_LAST</t>
        </is>
      </c>
      <c r="I6" t="inlineStr">
        <is>
          <t>percent</t>
        </is>
      </c>
      <c r="J6" s="8">
        <f>IFERROR(INDEX(BDH($G$6,$H$6,'01_Parametros'!$B$3,'01_Parametros'!$B$3,"Days=A","Fill=B","Dir=H"),1,2),BDH($G$6,$H$6,'01_Parametros'!$B$3,'01_Parametros'!$B$3,"Days=A","Fill=B"))</f>
        <v/>
      </c>
      <c r="K6" s="8">
        <f>IFERROR(INDEX(BDH($G$6,$H$6,'01_Parametros'!$B$5,'01_Parametros'!$B$5,"Days=A","Fill=B","Dir=H"),1,2),BDH($G$6,$H$6,'01_Parametros'!$B$5,'01_Parametros'!$B$5,"Days=A","Fill=B"))</f>
        <v/>
      </c>
      <c r="L6" s="8">
        <f>IFERROR(INDEX(BDH($G$6,$H$6,'01_Parametros'!$B$6,'01_Parametros'!$B$6,"Days=A","Fill=B","Dir=H"),1,2),BDH($G$6,$H$6,'01_Parametros'!$B$6,'01_Parametros'!$B$6,"Days=A","Fill=B"))</f>
        <v/>
      </c>
      <c r="M6" s="8">
        <f>IFERROR(INDEX(BDH($G$6,$H$6,'01_Parametros'!$B$7,'01_Parametros'!$B$7,"Days=A","Fill=B","Dir=H"),1,2),BDH($G$6,$H$6,'01_Parametros'!$B$7,'01_Parametros'!$B$7,"Days=A","Fill=B"))</f>
        <v/>
      </c>
      <c r="N6" t="inlineStr">
        <is>
          <t>Overnight Reverse Repo</t>
        </is>
      </c>
    </row>
    <row r="7">
      <c r="A7" t="n">
        <v>6</v>
      </c>
      <c r="B7" t="inlineStr">
        <is>
          <t>money_market</t>
        </is>
      </c>
      <c r="C7" t="inlineStr">
        <is>
          <t>US</t>
        </is>
      </c>
      <c r="D7" t="inlineStr">
        <is>
          <t>SOFR_ON</t>
        </is>
      </c>
      <c r="E7" t="inlineStr">
        <is>
          <t>ON</t>
        </is>
      </c>
      <c r="F7" t="n">
        <v>0.003</v>
      </c>
      <c r="G7" t="inlineStr">
        <is>
          <t>SOFRRATE Index</t>
        </is>
      </c>
      <c r="H7" t="inlineStr">
        <is>
          <t>PX_LAST</t>
        </is>
      </c>
      <c r="I7" t="inlineStr">
        <is>
          <t>percent</t>
        </is>
      </c>
      <c r="J7" s="8">
        <f>IFERROR(INDEX(BDH($G$7,$H$7,'01_Parametros'!$B$3,'01_Parametros'!$B$3,"Days=A","Fill=B","Dir=H"),1,2),BDH($G$7,$H$7,'01_Parametros'!$B$3,'01_Parametros'!$B$3,"Days=A","Fill=B"))</f>
        <v/>
      </c>
      <c r="K7" s="8">
        <f>IFERROR(INDEX(BDH($G$7,$H$7,'01_Parametros'!$B$5,'01_Parametros'!$B$5,"Days=A","Fill=B","Dir=H"),1,2),BDH($G$7,$H$7,'01_Parametros'!$B$5,'01_Parametros'!$B$5,"Days=A","Fill=B"))</f>
        <v/>
      </c>
      <c r="L7" s="8">
        <f>IFERROR(INDEX(BDH($G$7,$H$7,'01_Parametros'!$B$6,'01_Parametros'!$B$6,"Days=A","Fill=B","Dir=H"),1,2),BDH($G$7,$H$7,'01_Parametros'!$B$6,'01_Parametros'!$B$6,"Days=A","Fill=B"))</f>
        <v/>
      </c>
      <c r="M7" s="8">
        <f>IFERROR(INDEX(BDH($G$7,$H$7,'01_Parametros'!$B$7,'01_Parametros'!$B$7,"Days=A","Fill=B","Dir=H"),1,2),BDH($G$7,$H$7,'01_Parametros'!$B$7,'01_Parametros'!$B$7,"Days=A","Fill=B"))</f>
        <v/>
      </c>
      <c r="N7" t="inlineStr">
        <is>
          <t>SOFR overnight</t>
        </is>
      </c>
    </row>
    <row r="8">
      <c r="A8" t="n">
        <v>7</v>
      </c>
      <c r="B8" t="inlineStr">
        <is>
          <t>money_market</t>
        </is>
      </c>
      <c r="C8" t="inlineStr">
        <is>
          <t>US</t>
        </is>
      </c>
      <c r="D8" t="inlineStr">
        <is>
          <t>SOFR_1M_AVG</t>
        </is>
      </c>
      <c r="E8" t="inlineStr">
        <is>
          <t>1M_AVG</t>
        </is>
      </c>
      <c r="F8" t="n">
        <v>0.083</v>
      </c>
      <c r="G8" t="inlineStr">
        <is>
          <t>SOFR30A Index</t>
        </is>
      </c>
      <c r="H8" t="inlineStr">
        <is>
          <t>PX_LAST</t>
        </is>
      </c>
      <c r="I8" t="inlineStr">
        <is>
          <t>percent</t>
        </is>
      </c>
      <c r="J8" s="8">
        <f>IFERROR(INDEX(BDH($G$8,$H$8,'01_Parametros'!$B$3,'01_Parametros'!$B$3,"Days=A","Fill=B","Dir=H"),1,2),BDH($G$8,$H$8,'01_Parametros'!$B$3,'01_Parametros'!$B$3,"Days=A","Fill=B"))</f>
        <v/>
      </c>
      <c r="K8" s="8">
        <f>IFERROR(INDEX(BDH($G$8,$H$8,'01_Parametros'!$B$5,'01_Parametros'!$B$5,"Days=A","Fill=B","Dir=H"),1,2),BDH($G$8,$H$8,'01_Parametros'!$B$5,'01_Parametros'!$B$5,"Days=A","Fill=B"))</f>
        <v/>
      </c>
      <c r="L8" s="8">
        <f>IFERROR(INDEX(BDH($G$8,$H$8,'01_Parametros'!$B$6,'01_Parametros'!$B$6,"Days=A","Fill=B","Dir=H"),1,2),BDH($G$8,$H$8,'01_Parametros'!$B$6,'01_Parametros'!$B$6,"Days=A","Fill=B"))</f>
        <v/>
      </c>
      <c r="M8" s="8">
        <f>IFERROR(INDEX(BDH($G$8,$H$8,'01_Parametros'!$B$7,'01_Parametros'!$B$7,"Days=A","Fill=B","Dir=H"),1,2),BDH($G$8,$H$8,'01_Parametros'!$B$7,'01_Parametros'!$B$7,"Days=A","Fill=B"))</f>
        <v/>
      </c>
      <c r="N8" t="inlineStr">
        <is>
          <t>SOFR 30-day average</t>
        </is>
      </c>
    </row>
    <row r="9">
      <c r="A9" t="n">
        <v>8</v>
      </c>
      <c r="B9" t="inlineStr">
        <is>
          <t>money_market</t>
        </is>
      </c>
      <c r="C9" t="inlineStr">
        <is>
          <t>US</t>
        </is>
      </c>
      <c r="D9" t="inlineStr">
        <is>
          <t>SOFR_3M_AVG</t>
        </is>
      </c>
      <c r="E9" t="inlineStr">
        <is>
          <t>3M_AVG</t>
        </is>
      </c>
      <c r="F9" t="n">
        <v>0.25</v>
      </c>
      <c r="G9" t="inlineStr">
        <is>
          <t>SOFR90A Index</t>
        </is>
      </c>
      <c r="H9" t="inlineStr">
        <is>
          <t>PX_LAST</t>
        </is>
      </c>
      <c r="I9" t="inlineStr">
        <is>
          <t>percent</t>
        </is>
      </c>
      <c r="J9" s="8">
        <f>IFERROR(INDEX(BDH($G$9,$H$9,'01_Parametros'!$B$3,'01_Parametros'!$B$3,"Days=A","Fill=B","Dir=H"),1,2),BDH($G$9,$H$9,'01_Parametros'!$B$3,'01_Parametros'!$B$3,"Days=A","Fill=B"))</f>
        <v/>
      </c>
      <c r="K9" s="8">
        <f>IFERROR(INDEX(BDH($G$9,$H$9,'01_Parametros'!$B$5,'01_Parametros'!$B$5,"Days=A","Fill=B","Dir=H"),1,2),BDH($G$9,$H$9,'01_Parametros'!$B$5,'01_Parametros'!$B$5,"Days=A","Fill=B"))</f>
        <v/>
      </c>
      <c r="L9" s="8">
        <f>IFERROR(INDEX(BDH($G$9,$H$9,'01_Parametros'!$B$6,'01_Parametros'!$B$6,"Days=A","Fill=B","Dir=H"),1,2),BDH($G$9,$H$9,'01_Parametros'!$B$6,'01_Parametros'!$B$6,"Days=A","Fill=B"))</f>
        <v/>
      </c>
      <c r="M9" s="8">
        <f>IFERROR(INDEX(BDH($G$9,$H$9,'01_Parametros'!$B$7,'01_Parametros'!$B$7,"Days=A","Fill=B","Dir=H"),1,2),BDH($G$9,$H$9,'01_Parametros'!$B$7,'01_Parametros'!$B$7,"Days=A","Fill=B"))</f>
        <v/>
      </c>
      <c r="N9" t="inlineStr">
        <is>
          <t>SOFR 90-day average</t>
        </is>
      </c>
    </row>
    <row r="10">
      <c r="A10" t="n">
        <v>9</v>
      </c>
      <c r="B10" t="inlineStr">
        <is>
          <t>money_market</t>
        </is>
      </c>
      <c r="C10" t="inlineStr">
        <is>
          <t>US</t>
        </is>
      </c>
      <c r="D10" t="inlineStr">
        <is>
          <t>TERM_SOFR_1M</t>
        </is>
      </c>
      <c r="E10" t="inlineStr">
        <is>
          <t>1M</t>
        </is>
      </c>
      <c r="F10" t="n">
        <v>0.083</v>
      </c>
      <c r="G10" t="inlineStr">
        <is>
          <t>USOSFR1Z BGN Curncy</t>
        </is>
      </c>
      <c r="H10" t="inlineStr">
        <is>
          <t>PX_LAST</t>
        </is>
      </c>
      <c r="I10" t="inlineStr">
        <is>
          <t>percent</t>
        </is>
      </c>
      <c r="J10" s="8">
        <f>IFERROR(INDEX(BDH($G$10,$H$10,'01_Parametros'!$B$3,'01_Parametros'!$B$3,"Days=A","Fill=B","Dir=H"),1,2),BDH($G$10,$H$10,'01_Parametros'!$B$3,'01_Parametros'!$B$3,"Days=A","Fill=B"))</f>
        <v/>
      </c>
      <c r="K10" s="8">
        <f>IFERROR(INDEX(BDH($G$10,$H$10,'01_Parametros'!$B$5,'01_Parametros'!$B$5,"Days=A","Fill=B","Dir=H"),1,2),BDH($G$10,$H$10,'01_Parametros'!$B$5,'01_Parametros'!$B$5,"Days=A","Fill=B"))</f>
        <v/>
      </c>
      <c r="L10" s="8">
        <f>IFERROR(INDEX(BDH($G$10,$H$10,'01_Parametros'!$B$6,'01_Parametros'!$B$6,"Days=A","Fill=B","Dir=H"),1,2),BDH($G$10,$H$10,'01_Parametros'!$B$6,'01_Parametros'!$B$6,"Days=A","Fill=B"))</f>
        <v/>
      </c>
      <c r="M10" s="8">
        <f>IFERROR(INDEX(BDH($G$10,$H$10,'01_Parametros'!$B$7,'01_Parametros'!$B$7,"Days=A","Fill=B","Dir=H"),1,2),BDH($G$10,$H$10,'01_Parametros'!$B$7,'01_Parametros'!$B$7,"Days=A","Fill=B"))</f>
        <v/>
      </c>
      <c r="N10" t="inlineStr">
        <is>
          <t>Term SOFR 1M - CME</t>
        </is>
      </c>
    </row>
    <row r="11">
      <c r="A11" t="n">
        <v>10</v>
      </c>
      <c r="B11" t="inlineStr">
        <is>
          <t>money_market</t>
        </is>
      </c>
      <c r="C11" t="inlineStr">
        <is>
          <t>US</t>
        </is>
      </c>
      <c r="D11" t="inlineStr">
        <is>
          <t>TERM_SOFR_3M</t>
        </is>
      </c>
      <c r="E11" t="inlineStr">
        <is>
          <t>3M</t>
        </is>
      </c>
      <c r="F11" t="n">
        <v>0.25</v>
      </c>
      <c r="G11" t="inlineStr">
        <is>
          <t>USOSFR3Z BGN Curncy</t>
        </is>
      </c>
      <c r="H11" t="inlineStr">
        <is>
          <t>PX_LAST</t>
        </is>
      </c>
      <c r="I11" t="inlineStr">
        <is>
          <t>percent</t>
        </is>
      </c>
      <c r="J11" s="8">
        <f>IFERROR(INDEX(BDH($G$11,$H$11,'01_Parametros'!$B$3,'01_Parametros'!$B$3,"Days=A","Fill=B","Dir=H"),1,2),BDH($G$11,$H$11,'01_Parametros'!$B$3,'01_Parametros'!$B$3,"Days=A","Fill=B"))</f>
        <v/>
      </c>
      <c r="K11" s="8">
        <f>IFERROR(INDEX(BDH($G$11,$H$11,'01_Parametros'!$B$5,'01_Parametros'!$B$5,"Days=A","Fill=B","Dir=H"),1,2),BDH($G$11,$H$11,'01_Parametros'!$B$5,'01_Parametros'!$B$5,"Days=A","Fill=B"))</f>
        <v/>
      </c>
      <c r="L11" s="8">
        <f>IFERROR(INDEX(BDH($G$11,$H$11,'01_Parametros'!$B$6,'01_Parametros'!$B$6,"Days=A","Fill=B","Dir=H"),1,2),BDH($G$11,$H$11,'01_Parametros'!$B$6,'01_Parametros'!$B$6,"Days=A","Fill=B"))</f>
        <v/>
      </c>
      <c r="M11" s="8">
        <f>IFERROR(INDEX(BDH($G$11,$H$11,'01_Parametros'!$B$7,'01_Parametros'!$B$7,"Days=A","Fill=B","Dir=H"),1,2),BDH($G$11,$H$11,'01_Parametros'!$B$7,'01_Parametros'!$B$7,"Days=A","Fill=B"))</f>
        <v/>
      </c>
      <c r="N11" t="inlineStr">
        <is>
          <t>Term SOFR 3M - CME</t>
        </is>
      </c>
    </row>
    <row r="12">
      <c r="A12" t="n">
        <v>11</v>
      </c>
      <c r="B12" t="inlineStr">
        <is>
          <t>money_market</t>
        </is>
      </c>
      <c r="C12" t="inlineStr">
        <is>
          <t>US</t>
        </is>
      </c>
      <c r="D12" t="inlineStr">
        <is>
          <t>TERM_SOFR_6M</t>
        </is>
      </c>
      <c r="E12" t="inlineStr">
        <is>
          <t>6M</t>
        </is>
      </c>
      <c r="F12" t="n">
        <v>0.5</v>
      </c>
      <c r="G12" t="inlineStr">
        <is>
          <t>USOSFR6Z BGN Curncy</t>
        </is>
      </c>
      <c r="H12" t="inlineStr">
        <is>
          <t>PX_LAST</t>
        </is>
      </c>
      <c r="I12" t="inlineStr">
        <is>
          <t>percent</t>
        </is>
      </c>
      <c r="J12" s="8">
        <f>IFERROR(INDEX(BDH($G$12,$H$12,'01_Parametros'!$B$3,'01_Parametros'!$B$3,"Days=A","Fill=B","Dir=H"),1,2),BDH($G$12,$H$12,'01_Parametros'!$B$3,'01_Parametros'!$B$3,"Days=A","Fill=B"))</f>
        <v/>
      </c>
      <c r="K12" s="8">
        <f>IFERROR(INDEX(BDH($G$12,$H$12,'01_Parametros'!$B$5,'01_Parametros'!$B$5,"Days=A","Fill=B","Dir=H"),1,2),BDH($G$12,$H$12,'01_Parametros'!$B$5,'01_Parametros'!$B$5,"Days=A","Fill=B"))</f>
        <v/>
      </c>
      <c r="L12" s="8">
        <f>IFERROR(INDEX(BDH($G$12,$H$12,'01_Parametros'!$B$6,'01_Parametros'!$B$6,"Days=A","Fill=B","Dir=H"),1,2),BDH($G$12,$H$12,'01_Parametros'!$B$6,'01_Parametros'!$B$6,"Days=A","Fill=B"))</f>
        <v/>
      </c>
      <c r="M12" s="8">
        <f>IFERROR(INDEX(BDH($G$12,$H$12,'01_Parametros'!$B$7,'01_Parametros'!$B$7,"Days=A","Fill=B","Dir=H"),1,2),BDH($G$12,$H$12,'01_Parametros'!$B$7,'01_Parametros'!$B$7,"Days=A","Fill=B"))</f>
        <v/>
      </c>
      <c r="N12" t="inlineStr">
        <is>
          <t>Term SOFR 6M - CME</t>
        </is>
      </c>
    </row>
    <row r="13">
      <c r="A13" t="n">
        <v>12</v>
      </c>
      <c r="B13" t="inlineStr">
        <is>
          <t>money_market</t>
        </is>
      </c>
      <c r="C13" t="inlineStr">
        <is>
          <t>US</t>
        </is>
      </c>
      <c r="D13" t="inlineStr">
        <is>
          <t>TERM_SOFR_12M</t>
        </is>
      </c>
      <c r="E13" t="inlineStr">
        <is>
          <t>12M</t>
        </is>
      </c>
      <c r="F13" t="n">
        <v>1</v>
      </c>
      <c r="G13" t="inlineStr">
        <is>
          <t>USOSFR12Z BGN Curncy</t>
        </is>
      </c>
      <c r="H13" t="inlineStr">
        <is>
          <t>PX_LAST</t>
        </is>
      </c>
      <c r="I13" t="inlineStr">
        <is>
          <t>percent</t>
        </is>
      </c>
      <c r="J13" s="8">
        <f>IFERROR(INDEX(BDH($G$13,$H$13,'01_Parametros'!$B$3,'01_Parametros'!$B$3,"Days=A","Fill=B","Dir=H"),1,2),BDH($G$13,$H$13,'01_Parametros'!$B$3,'01_Parametros'!$B$3,"Days=A","Fill=B"))</f>
        <v/>
      </c>
      <c r="K13" s="8">
        <f>IFERROR(INDEX(BDH($G$13,$H$13,'01_Parametros'!$B$5,'01_Parametros'!$B$5,"Days=A","Fill=B","Dir=H"),1,2),BDH($G$13,$H$13,'01_Parametros'!$B$5,'01_Parametros'!$B$5,"Days=A","Fill=B"))</f>
        <v/>
      </c>
      <c r="L13" s="8">
        <f>IFERROR(INDEX(BDH($G$13,$H$13,'01_Parametros'!$B$6,'01_Parametros'!$B$6,"Days=A","Fill=B","Dir=H"),1,2),BDH($G$13,$H$13,'01_Parametros'!$B$6,'01_Parametros'!$B$6,"Days=A","Fill=B"))</f>
        <v/>
      </c>
      <c r="M13" s="8">
        <f>IFERROR(INDEX(BDH($G$13,$H$13,'01_Parametros'!$B$7,'01_Parametros'!$B$7,"Days=A","Fill=B","Dir=H"),1,2),BDH($G$13,$H$13,'01_Parametros'!$B$7,'01_Parametros'!$B$7,"Days=A","Fill=B"))</f>
        <v/>
      </c>
      <c r="N13" t="inlineStr">
        <is>
          <t>Term SOFR 12M - CME</t>
        </is>
      </c>
    </row>
    <row r="14">
      <c r="A14" t="n">
        <v>13</v>
      </c>
      <c r="B14" t="inlineStr">
        <is>
          <t>yield_curve</t>
        </is>
      </c>
      <c r="C14" t="inlineStr">
        <is>
          <t>US</t>
        </is>
      </c>
      <c r="D14" t="inlineStr">
        <is>
          <t>UST</t>
        </is>
      </c>
      <c r="E14" t="inlineStr">
        <is>
          <t>1M</t>
        </is>
      </c>
      <c r="F14" t="n">
        <v>0.083</v>
      </c>
      <c r="G14" t="inlineStr">
        <is>
          <t>USGG1M Index</t>
        </is>
      </c>
      <c r="H14" t="inlineStr">
        <is>
          <t>PX_LAST</t>
        </is>
      </c>
      <c r="I14" t="inlineStr">
        <is>
          <t>percent</t>
        </is>
      </c>
      <c r="J14" s="8">
        <f>IFERROR(INDEX(BDH($G$14,$H$14,'01_Parametros'!$B$3,'01_Parametros'!$B$3,"Days=A","Fill=B","Dir=H"),1,2),BDH($G$14,$H$14,'01_Parametros'!$B$3,'01_Parametros'!$B$3,"Days=A","Fill=B"))</f>
        <v/>
      </c>
      <c r="K14" s="8">
        <f>IFERROR(INDEX(BDH($G$14,$H$14,'01_Parametros'!$B$5,'01_Parametros'!$B$5,"Days=A","Fill=B","Dir=H"),1,2),BDH($G$14,$H$14,'01_Parametros'!$B$5,'01_Parametros'!$B$5,"Days=A","Fill=B"))</f>
        <v/>
      </c>
      <c r="L14" s="8">
        <f>IFERROR(INDEX(BDH($G$14,$H$14,'01_Parametros'!$B$6,'01_Parametros'!$B$6,"Days=A","Fill=B","Dir=H"),1,2),BDH($G$14,$H$14,'01_Parametros'!$B$6,'01_Parametros'!$B$6,"Days=A","Fill=B"))</f>
        <v/>
      </c>
      <c r="M14" s="8">
        <f>IFERROR(INDEX(BDH($G$14,$H$14,'01_Parametros'!$B$7,'01_Parametros'!$B$7,"Days=A","Fill=B","Dir=H"),1,2),BDH($G$14,$H$14,'01_Parametros'!$B$7,'01_Parametros'!$B$7,"Days=A","Fill=B"))</f>
        <v/>
      </c>
      <c r="N14" t="inlineStr">
        <is>
          <t>US Treasury 1M nominal</t>
        </is>
      </c>
    </row>
    <row r="15">
      <c r="A15" t="n">
        <v>14</v>
      </c>
      <c r="B15" t="inlineStr">
        <is>
          <t>yield_curve</t>
        </is>
      </c>
      <c r="C15" t="inlineStr">
        <is>
          <t>US</t>
        </is>
      </c>
      <c r="D15" t="inlineStr">
        <is>
          <t>UST</t>
        </is>
      </c>
      <c r="E15" t="inlineStr">
        <is>
          <t>3M</t>
        </is>
      </c>
      <c r="F15" t="n">
        <v>0.25</v>
      </c>
      <c r="G15" t="inlineStr">
        <is>
          <t>USGG3M Index</t>
        </is>
      </c>
      <c r="H15" t="inlineStr">
        <is>
          <t>PX_LAST</t>
        </is>
      </c>
      <c r="I15" t="inlineStr">
        <is>
          <t>percent</t>
        </is>
      </c>
      <c r="J15" s="8">
        <f>IFERROR(INDEX(BDH($G$15,$H$15,'01_Parametros'!$B$3,'01_Parametros'!$B$3,"Days=A","Fill=B","Dir=H"),1,2),BDH($G$15,$H$15,'01_Parametros'!$B$3,'01_Parametros'!$B$3,"Days=A","Fill=B"))</f>
        <v/>
      </c>
      <c r="K15" s="8">
        <f>IFERROR(INDEX(BDH($G$15,$H$15,'01_Parametros'!$B$5,'01_Parametros'!$B$5,"Days=A","Fill=B","Dir=H"),1,2),BDH($G$15,$H$15,'01_Parametros'!$B$5,'01_Parametros'!$B$5,"Days=A","Fill=B"))</f>
        <v/>
      </c>
      <c r="L15" s="8">
        <f>IFERROR(INDEX(BDH($G$15,$H$15,'01_Parametros'!$B$6,'01_Parametros'!$B$6,"Days=A","Fill=B","Dir=H"),1,2),BDH($G$15,$H$15,'01_Parametros'!$B$6,'01_Parametros'!$B$6,"Days=A","Fill=B"))</f>
        <v/>
      </c>
      <c r="M15" s="8">
        <f>IFERROR(INDEX(BDH($G$15,$H$15,'01_Parametros'!$B$7,'01_Parametros'!$B$7,"Days=A","Fill=B","Dir=H"),1,2),BDH($G$15,$H$15,'01_Parametros'!$B$7,'01_Parametros'!$B$7,"Days=A","Fill=B"))</f>
        <v/>
      </c>
      <c r="N15" t="inlineStr">
        <is>
          <t>US Treasury 3M nominal</t>
        </is>
      </c>
    </row>
    <row r="16">
      <c r="A16" t="n">
        <v>15</v>
      </c>
      <c r="B16" t="inlineStr">
        <is>
          <t>yield_curve</t>
        </is>
      </c>
      <c r="C16" t="inlineStr">
        <is>
          <t>US</t>
        </is>
      </c>
      <c r="D16" t="inlineStr">
        <is>
          <t>UST</t>
        </is>
      </c>
      <c r="E16" t="inlineStr">
        <is>
          <t>6M</t>
        </is>
      </c>
      <c r="F16" t="n">
        <v>0.5</v>
      </c>
      <c r="G16" t="inlineStr">
        <is>
          <t>USGG6M Index</t>
        </is>
      </c>
      <c r="H16" t="inlineStr">
        <is>
          <t>PX_LAST</t>
        </is>
      </c>
      <c r="I16" t="inlineStr">
        <is>
          <t>percent</t>
        </is>
      </c>
      <c r="J16" s="8">
        <f>IFERROR(INDEX(BDH($G$16,$H$16,'01_Parametros'!$B$3,'01_Parametros'!$B$3,"Days=A","Fill=B","Dir=H"),1,2),BDH($G$16,$H$16,'01_Parametros'!$B$3,'01_Parametros'!$B$3,"Days=A","Fill=B"))</f>
        <v/>
      </c>
      <c r="K16" s="8">
        <f>IFERROR(INDEX(BDH($G$16,$H$16,'01_Parametros'!$B$5,'01_Parametros'!$B$5,"Days=A","Fill=B","Dir=H"),1,2),BDH($G$16,$H$16,'01_Parametros'!$B$5,'01_Parametros'!$B$5,"Days=A","Fill=B"))</f>
        <v/>
      </c>
      <c r="L16" s="8">
        <f>IFERROR(INDEX(BDH($G$16,$H$16,'01_Parametros'!$B$6,'01_Parametros'!$B$6,"Days=A","Fill=B","Dir=H"),1,2),BDH($G$16,$H$16,'01_Parametros'!$B$6,'01_Parametros'!$B$6,"Days=A","Fill=B"))</f>
        <v/>
      </c>
      <c r="M16" s="8">
        <f>IFERROR(INDEX(BDH($G$16,$H$16,'01_Parametros'!$B$7,'01_Parametros'!$B$7,"Days=A","Fill=B","Dir=H"),1,2),BDH($G$16,$H$16,'01_Parametros'!$B$7,'01_Parametros'!$B$7,"Days=A","Fill=B"))</f>
        <v/>
      </c>
      <c r="N16" t="inlineStr">
        <is>
          <t>US Treasury 6M nominal</t>
        </is>
      </c>
    </row>
    <row r="17">
      <c r="A17" t="n">
        <v>16</v>
      </c>
      <c r="B17" t="inlineStr">
        <is>
          <t>yield_curve</t>
        </is>
      </c>
      <c r="C17" t="inlineStr">
        <is>
          <t>US</t>
        </is>
      </c>
      <c r="D17" t="inlineStr">
        <is>
          <t>UST</t>
        </is>
      </c>
      <c r="E17" t="inlineStr">
        <is>
          <t>1Y</t>
        </is>
      </c>
      <c r="F17" t="n">
        <v>1</v>
      </c>
      <c r="G17" t="inlineStr">
        <is>
          <t>USGG12M Index</t>
        </is>
      </c>
      <c r="H17" t="inlineStr">
        <is>
          <t>PX_LAST</t>
        </is>
      </c>
      <c r="I17" t="inlineStr">
        <is>
          <t>percent</t>
        </is>
      </c>
      <c r="J17" s="8">
        <f>IFERROR(INDEX(BDH($G$17,$H$17,'01_Parametros'!$B$3,'01_Parametros'!$B$3,"Days=A","Fill=B","Dir=H"),1,2),BDH($G$17,$H$17,'01_Parametros'!$B$3,'01_Parametros'!$B$3,"Days=A","Fill=B"))</f>
        <v/>
      </c>
      <c r="K17" s="8">
        <f>IFERROR(INDEX(BDH($G$17,$H$17,'01_Parametros'!$B$5,'01_Parametros'!$B$5,"Days=A","Fill=B","Dir=H"),1,2),BDH($G$17,$H$17,'01_Parametros'!$B$5,'01_Parametros'!$B$5,"Days=A","Fill=B"))</f>
        <v/>
      </c>
      <c r="L17" s="8">
        <f>IFERROR(INDEX(BDH($G$17,$H$17,'01_Parametros'!$B$6,'01_Parametros'!$B$6,"Days=A","Fill=B","Dir=H"),1,2),BDH($G$17,$H$17,'01_Parametros'!$B$6,'01_Parametros'!$B$6,"Days=A","Fill=B"))</f>
        <v/>
      </c>
      <c r="M17" s="8">
        <f>IFERROR(INDEX(BDH($G$17,$H$17,'01_Parametros'!$B$7,'01_Parametros'!$B$7,"Days=A","Fill=B","Dir=H"),1,2),BDH($G$17,$H$17,'01_Parametros'!$B$7,'01_Parametros'!$B$7,"Days=A","Fill=B"))</f>
        <v/>
      </c>
      <c r="N17" t="inlineStr">
        <is>
          <t>US Treasury 1Y nominal</t>
        </is>
      </c>
    </row>
    <row r="18">
      <c r="A18" t="n">
        <v>17</v>
      </c>
      <c r="B18" t="inlineStr">
        <is>
          <t>yield_curve</t>
        </is>
      </c>
      <c r="C18" t="inlineStr">
        <is>
          <t>US</t>
        </is>
      </c>
      <c r="D18" t="inlineStr">
        <is>
          <t>UST</t>
        </is>
      </c>
      <c r="E18" t="inlineStr">
        <is>
          <t>2Y</t>
        </is>
      </c>
      <c r="F18" t="n">
        <v>2</v>
      </c>
      <c r="G18" t="inlineStr">
        <is>
          <t>USGG2YR Index</t>
        </is>
      </c>
      <c r="H18" t="inlineStr">
        <is>
          <t>PX_LAST</t>
        </is>
      </c>
      <c r="I18" t="inlineStr">
        <is>
          <t>percent</t>
        </is>
      </c>
      <c r="J18" s="8">
        <f>IFERROR(INDEX(BDH($G$18,$H$18,'01_Parametros'!$B$3,'01_Parametros'!$B$3,"Days=A","Fill=B","Dir=H"),1,2),BDH($G$18,$H$18,'01_Parametros'!$B$3,'01_Parametros'!$B$3,"Days=A","Fill=B"))</f>
        <v/>
      </c>
      <c r="K18" s="8">
        <f>IFERROR(INDEX(BDH($G$18,$H$18,'01_Parametros'!$B$5,'01_Parametros'!$B$5,"Days=A","Fill=B","Dir=H"),1,2),BDH($G$18,$H$18,'01_Parametros'!$B$5,'01_Parametros'!$B$5,"Days=A","Fill=B"))</f>
        <v/>
      </c>
      <c r="L18" s="8">
        <f>IFERROR(INDEX(BDH($G$18,$H$18,'01_Parametros'!$B$6,'01_Parametros'!$B$6,"Days=A","Fill=B","Dir=H"),1,2),BDH($G$18,$H$18,'01_Parametros'!$B$6,'01_Parametros'!$B$6,"Days=A","Fill=B"))</f>
        <v/>
      </c>
      <c r="M18" s="8">
        <f>IFERROR(INDEX(BDH($G$18,$H$18,'01_Parametros'!$B$7,'01_Parametros'!$B$7,"Days=A","Fill=B","Dir=H"),1,2),BDH($G$18,$H$18,'01_Parametros'!$B$7,'01_Parametros'!$B$7,"Days=A","Fill=B"))</f>
        <v/>
      </c>
      <c r="N18" t="inlineStr">
        <is>
          <t>US Treasury 2Y nominal</t>
        </is>
      </c>
    </row>
    <row r="19">
      <c r="A19" t="n">
        <v>18</v>
      </c>
      <c r="B19" t="inlineStr">
        <is>
          <t>yield_curve</t>
        </is>
      </c>
      <c r="C19" t="inlineStr">
        <is>
          <t>US</t>
        </is>
      </c>
      <c r="D19" t="inlineStr">
        <is>
          <t>UST</t>
        </is>
      </c>
      <c r="E19" t="inlineStr">
        <is>
          <t>3Y</t>
        </is>
      </c>
      <c r="F19" t="n">
        <v>3</v>
      </c>
      <c r="G19" t="inlineStr">
        <is>
          <t>USGG3YR Index</t>
        </is>
      </c>
      <c r="H19" t="inlineStr">
        <is>
          <t>PX_LAST</t>
        </is>
      </c>
      <c r="I19" t="inlineStr">
        <is>
          <t>percent</t>
        </is>
      </c>
      <c r="J19" s="8">
        <f>IFERROR(INDEX(BDH($G$19,$H$19,'01_Parametros'!$B$3,'01_Parametros'!$B$3,"Days=A","Fill=B","Dir=H"),1,2),BDH($G$19,$H$19,'01_Parametros'!$B$3,'01_Parametros'!$B$3,"Days=A","Fill=B"))</f>
        <v/>
      </c>
      <c r="K19" s="8">
        <f>IFERROR(INDEX(BDH($G$19,$H$19,'01_Parametros'!$B$5,'01_Parametros'!$B$5,"Days=A","Fill=B","Dir=H"),1,2),BDH($G$19,$H$19,'01_Parametros'!$B$5,'01_Parametros'!$B$5,"Days=A","Fill=B"))</f>
        <v/>
      </c>
      <c r="L19" s="8">
        <f>IFERROR(INDEX(BDH($G$19,$H$19,'01_Parametros'!$B$6,'01_Parametros'!$B$6,"Days=A","Fill=B","Dir=H"),1,2),BDH($G$19,$H$19,'01_Parametros'!$B$6,'01_Parametros'!$B$6,"Days=A","Fill=B"))</f>
        <v/>
      </c>
      <c r="M19" s="8">
        <f>IFERROR(INDEX(BDH($G$19,$H$19,'01_Parametros'!$B$7,'01_Parametros'!$B$7,"Days=A","Fill=B","Dir=H"),1,2),BDH($G$19,$H$19,'01_Parametros'!$B$7,'01_Parametros'!$B$7,"Days=A","Fill=B"))</f>
        <v/>
      </c>
      <c r="N19" t="inlineStr">
        <is>
          <t>US Treasury 3Y nominal</t>
        </is>
      </c>
    </row>
    <row r="20">
      <c r="A20" t="n">
        <v>19</v>
      </c>
      <c r="B20" t="inlineStr">
        <is>
          <t>yield_curve</t>
        </is>
      </c>
      <c r="C20" t="inlineStr">
        <is>
          <t>US</t>
        </is>
      </c>
      <c r="D20" t="inlineStr">
        <is>
          <t>UST</t>
        </is>
      </c>
      <c r="E20" t="inlineStr">
        <is>
          <t>5Y</t>
        </is>
      </c>
      <c r="F20" t="n">
        <v>5</v>
      </c>
      <c r="G20" t="inlineStr">
        <is>
          <t>USGG5YR Index</t>
        </is>
      </c>
      <c r="H20" t="inlineStr">
        <is>
          <t>PX_LAST</t>
        </is>
      </c>
      <c r="I20" t="inlineStr">
        <is>
          <t>percent</t>
        </is>
      </c>
      <c r="J20" s="8">
        <f>IFERROR(INDEX(BDH($G$20,$H$20,'01_Parametros'!$B$3,'01_Parametros'!$B$3,"Days=A","Fill=B","Dir=H"),1,2),BDH($G$20,$H$20,'01_Parametros'!$B$3,'01_Parametros'!$B$3,"Days=A","Fill=B"))</f>
        <v/>
      </c>
      <c r="K20" s="8">
        <f>IFERROR(INDEX(BDH($G$20,$H$20,'01_Parametros'!$B$5,'01_Parametros'!$B$5,"Days=A","Fill=B","Dir=H"),1,2),BDH($G$20,$H$20,'01_Parametros'!$B$5,'01_Parametros'!$B$5,"Days=A","Fill=B"))</f>
        <v/>
      </c>
      <c r="L20" s="8">
        <f>IFERROR(INDEX(BDH($G$20,$H$20,'01_Parametros'!$B$6,'01_Parametros'!$B$6,"Days=A","Fill=B","Dir=H"),1,2),BDH($G$20,$H$20,'01_Parametros'!$B$6,'01_Parametros'!$B$6,"Days=A","Fill=B"))</f>
        <v/>
      </c>
      <c r="M20" s="8">
        <f>IFERROR(INDEX(BDH($G$20,$H$20,'01_Parametros'!$B$7,'01_Parametros'!$B$7,"Days=A","Fill=B","Dir=H"),1,2),BDH($G$20,$H$20,'01_Parametros'!$B$7,'01_Parametros'!$B$7,"Days=A","Fill=B"))</f>
        <v/>
      </c>
      <c r="N20" t="inlineStr">
        <is>
          <t>US Treasury 5Y nominal</t>
        </is>
      </c>
    </row>
    <row r="21">
      <c r="A21" t="n">
        <v>20</v>
      </c>
      <c r="B21" t="inlineStr">
        <is>
          <t>yield_curve</t>
        </is>
      </c>
      <c r="C21" t="inlineStr">
        <is>
          <t>US</t>
        </is>
      </c>
      <c r="D21" t="inlineStr">
        <is>
          <t>UST</t>
        </is>
      </c>
      <c r="E21" t="inlineStr">
        <is>
          <t>7Y</t>
        </is>
      </c>
      <c r="F21" t="n">
        <v>7</v>
      </c>
      <c r="G21" t="inlineStr">
        <is>
          <t>USGG7YR Index</t>
        </is>
      </c>
      <c r="H21" t="inlineStr">
        <is>
          <t>PX_LAST</t>
        </is>
      </c>
      <c r="I21" t="inlineStr">
        <is>
          <t>percent</t>
        </is>
      </c>
      <c r="J21" s="8">
        <f>IFERROR(INDEX(BDH($G$21,$H$21,'01_Parametros'!$B$3,'01_Parametros'!$B$3,"Days=A","Fill=B","Dir=H"),1,2),BDH($G$21,$H$21,'01_Parametros'!$B$3,'01_Parametros'!$B$3,"Days=A","Fill=B"))</f>
        <v/>
      </c>
      <c r="K21" s="8">
        <f>IFERROR(INDEX(BDH($G$21,$H$21,'01_Parametros'!$B$5,'01_Parametros'!$B$5,"Days=A","Fill=B","Dir=H"),1,2),BDH($G$21,$H$21,'01_Parametros'!$B$5,'01_Parametros'!$B$5,"Days=A","Fill=B"))</f>
        <v/>
      </c>
      <c r="L21" s="8">
        <f>IFERROR(INDEX(BDH($G$21,$H$21,'01_Parametros'!$B$6,'01_Parametros'!$B$6,"Days=A","Fill=B","Dir=H"),1,2),BDH($G$21,$H$21,'01_Parametros'!$B$6,'01_Parametros'!$B$6,"Days=A","Fill=B"))</f>
        <v/>
      </c>
      <c r="M21" s="8">
        <f>IFERROR(INDEX(BDH($G$21,$H$21,'01_Parametros'!$B$7,'01_Parametros'!$B$7,"Days=A","Fill=B","Dir=H"),1,2),BDH($G$21,$H$21,'01_Parametros'!$B$7,'01_Parametros'!$B$7,"Days=A","Fill=B"))</f>
        <v/>
      </c>
      <c r="N21" t="inlineStr">
        <is>
          <t>US Treasury 7Y nominal</t>
        </is>
      </c>
    </row>
    <row r="22">
      <c r="A22" t="n">
        <v>21</v>
      </c>
      <c r="B22" t="inlineStr">
        <is>
          <t>yield_curve</t>
        </is>
      </c>
      <c r="C22" t="inlineStr">
        <is>
          <t>US</t>
        </is>
      </c>
      <c r="D22" t="inlineStr">
        <is>
          <t>UST</t>
        </is>
      </c>
      <c r="E22" t="inlineStr">
        <is>
          <t>10Y</t>
        </is>
      </c>
      <c r="F22" t="n">
        <v>10</v>
      </c>
      <c r="G22" t="inlineStr">
        <is>
          <t>USGG10YR Index</t>
        </is>
      </c>
      <c r="H22" t="inlineStr">
        <is>
          <t>PX_LAST</t>
        </is>
      </c>
      <c r="I22" t="inlineStr">
        <is>
          <t>percent</t>
        </is>
      </c>
      <c r="J22" s="8">
        <f>IFERROR(INDEX(BDH($G$22,$H$22,'01_Parametros'!$B$3,'01_Parametros'!$B$3,"Days=A","Fill=B","Dir=H"),1,2),BDH($G$22,$H$22,'01_Parametros'!$B$3,'01_Parametros'!$B$3,"Days=A","Fill=B"))</f>
        <v/>
      </c>
      <c r="K22" s="8">
        <f>IFERROR(INDEX(BDH($G$22,$H$22,'01_Parametros'!$B$5,'01_Parametros'!$B$5,"Days=A","Fill=B","Dir=H"),1,2),BDH($G$22,$H$22,'01_Parametros'!$B$5,'01_Parametros'!$B$5,"Days=A","Fill=B"))</f>
        <v/>
      </c>
      <c r="L22" s="8">
        <f>IFERROR(INDEX(BDH($G$22,$H$22,'01_Parametros'!$B$6,'01_Parametros'!$B$6,"Days=A","Fill=B","Dir=H"),1,2),BDH($G$22,$H$22,'01_Parametros'!$B$6,'01_Parametros'!$B$6,"Days=A","Fill=B"))</f>
        <v/>
      </c>
      <c r="M22" s="8">
        <f>IFERROR(INDEX(BDH($G$22,$H$22,'01_Parametros'!$B$7,'01_Parametros'!$B$7,"Days=A","Fill=B","Dir=H"),1,2),BDH($G$22,$H$22,'01_Parametros'!$B$7,'01_Parametros'!$B$7,"Days=A","Fill=B"))</f>
        <v/>
      </c>
      <c r="N22" t="inlineStr">
        <is>
          <t>US Treasury 10Y nominal</t>
        </is>
      </c>
    </row>
    <row r="23">
      <c r="A23" t="n">
        <v>22</v>
      </c>
      <c r="B23" t="inlineStr">
        <is>
          <t>yield_curve</t>
        </is>
      </c>
      <c r="C23" t="inlineStr">
        <is>
          <t>US</t>
        </is>
      </c>
      <c r="D23" t="inlineStr">
        <is>
          <t>UST</t>
        </is>
      </c>
      <c r="E23" t="inlineStr">
        <is>
          <t>20Y</t>
        </is>
      </c>
      <c r="F23" t="n">
        <v>20</v>
      </c>
      <c r="G23" t="inlineStr">
        <is>
          <t>USGG20YR Index</t>
        </is>
      </c>
      <c r="H23" t="inlineStr">
        <is>
          <t>PX_LAST</t>
        </is>
      </c>
      <c r="I23" t="inlineStr">
        <is>
          <t>percent</t>
        </is>
      </c>
      <c r="J23" s="8">
        <f>IFERROR(INDEX(BDH($G$23,$H$23,'01_Parametros'!$B$3,'01_Parametros'!$B$3,"Days=A","Fill=B","Dir=H"),1,2),BDH($G$23,$H$23,'01_Parametros'!$B$3,'01_Parametros'!$B$3,"Days=A","Fill=B"))</f>
        <v/>
      </c>
      <c r="K23" s="8">
        <f>IFERROR(INDEX(BDH($G$23,$H$23,'01_Parametros'!$B$5,'01_Parametros'!$B$5,"Days=A","Fill=B","Dir=H"),1,2),BDH($G$23,$H$23,'01_Parametros'!$B$5,'01_Parametros'!$B$5,"Days=A","Fill=B"))</f>
        <v/>
      </c>
      <c r="L23" s="8">
        <f>IFERROR(INDEX(BDH($G$23,$H$23,'01_Parametros'!$B$6,'01_Parametros'!$B$6,"Days=A","Fill=B","Dir=H"),1,2),BDH($G$23,$H$23,'01_Parametros'!$B$6,'01_Parametros'!$B$6,"Days=A","Fill=B"))</f>
        <v/>
      </c>
      <c r="M23" s="8">
        <f>IFERROR(INDEX(BDH($G$23,$H$23,'01_Parametros'!$B$7,'01_Parametros'!$B$7,"Days=A","Fill=B","Dir=H"),1,2),BDH($G$23,$H$23,'01_Parametros'!$B$7,'01_Parametros'!$B$7,"Days=A","Fill=B"))</f>
        <v/>
      </c>
      <c r="N23" t="inlineStr">
        <is>
          <t>US Treasury 20Y nominal</t>
        </is>
      </c>
    </row>
    <row r="24">
      <c r="A24" t="n">
        <v>23</v>
      </c>
      <c r="B24" t="inlineStr">
        <is>
          <t>yield_curve</t>
        </is>
      </c>
      <c r="C24" t="inlineStr">
        <is>
          <t>US</t>
        </is>
      </c>
      <c r="D24" t="inlineStr">
        <is>
          <t>UST</t>
        </is>
      </c>
      <c r="E24" t="inlineStr">
        <is>
          <t>30Y</t>
        </is>
      </c>
      <c r="F24" t="n">
        <v>30</v>
      </c>
      <c r="G24" t="inlineStr">
        <is>
          <t>USGG30YR Index</t>
        </is>
      </c>
      <c r="H24" t="inlineStr">
        <is>
          <t>PX_LAST</t>
        </is>
      </c>
      <c r="I24" t="inlineStr">
        <is>
          <t>percent</t>
        </is>
      </c>
      <c r="J24" s="8">
        <f>IFERROR(INDEX(BDH($G$24,$H$24,'01_Parametros'!$B$3,'01_Parametros'!$B$3,"Days=A","Fill=B","Dir=H"),1,2),BDH($G$24,$H$24,'01_Parametros'!$B$3,'01_Parametros'!$B$3,"Days=A","Fill=B"))</f>
        <v/>
      </c>
      <c r="K24" s="8">
        <f>IFERROR(INDEX(BDH($G$24,$H$24,'01_Parametros'!$B$5,'01_Parametros'!$B$5,"Days=A","Fill=B","Dir=H"),1,2),BDH($G$24,$H$24,'01_Parametros'!$B$5,'01_Parametros'!$B$5,"Days=A","Fill=B"))</f>
        <v/>
      </c>
      <c r="L24" s="8">
        <f>IFERROR(INDEX(BDH($G$24,$H$24,'01_Parametros'!$B$6,'01_Parametros'!$B$6,"Days=A","Fill=B","Dir=H"),1,2),BDH($G$24,$H$24,'01_Parametros'!$B$6,'01_Parametros'!$B$6,"Days=A","Fill=B"))</f>
        <v/>
      </c>
      <c r="M24" s="8">
        <f>IFERROR(INDEX(BDH($G$24,$H$24,'01_Parametros'!$B$7,'01_Parametros'!$B$7,"Days=A","Fill=B","Dir=H"),1,2),BDH($G$24,$H$24,'01_Parametros'!$B$7,'01_Parametros'!$B$7,"Days=A","Fill=B"))</f>
        <v/>
      </c>
      <c r="N24" t="inlineStr">
        <is>
          <t>US Treasury 30Y nominal</t>
        </is>
      </c>
    </row>
    <row r="25">
      <c r="A25" t="n">
        <v>24</v>
      </c>
      <c r="B25" t="inlineStr">
        <is>
          <t>real_curve</t>
        </is>
      </c>
      <c r="C25" t="inlineStr">
        <is>
          <t>US</t>
        </is>
      </c>
      <c r="D25" t="inlineStr">
        <is>
          <t>TIPS</t>
        </is>
      </c>
      <c r="E25" t="inlineStr">
        <is>
          <t>5Y</t>
        </is>
      </c>
      <c r="F25" t="n">
        <v>5</v>
      </c>
      <c r="G25" t="inlineStr">
        <is>
          <t>USGGT05Y Index</t>
        </is>
      </c>
      <c r="H25" t="inlineStr">
        <is>
          <t>PX_LAST</t>
        </is>
      </c>
      <c r="I25" t="inlineStr">
        <is>
          <t>percent</t>
        </is>
      </c>
      <c r="J25" s="8">
        <f>IFERROR(INDEX(BDH($G$25,$H$25,'01_Parametros'!$B$3,'01_Parametros'!$B$3,"Days=A","Fill=B","Dir=H"),1,2),BDH($G$25,$H$25,'01_Parametros'!$B$3,'01_Parametros'!$B$3,"Days=A","Fill=B"))</f>
        <v/>
      </c>
      <c r="K25" s="8">
        <f>IFERROR(INDEX(BDH($G$25,$H$25,'01_Parametros'!$B$5,'01_Parametros'!$B$5,"Days=A","Fill=B","Dir=H"),1,2),BDH($G$25,$H$25,'01_Parametros'!$B$5,'01_Parametros'!$B$5,"Days=A","Fill=B"))</f>
        <v/>
      </c>
      <c r="L25" s="8">
        <f>IFERROR(INDEX(BDH($G$25,$H$25,'01_Parametros'!$B$6,'01_Parametros'!$B$6,"Days=A","Fill=B","Dir=H"),1,2),BDH($G$25,$H$25,'01_Parametros'!$B$6,'01_Parametros'!$B$6,"Days=A","Fill=B"))</f>
        <v/>
      </c>
      <c r="M25" s="8">
        <f>IFERROR(INDEX(BDH($G$25,$H$25,'01_Parametros'!$B$7,'01_Parametros'!$B$7,"Days=A","Fill=B","Dir=H"),1,2),BDH($G$25,$H$25,'01_Parametros'!$B$7,'01_Parametros'!$B$7,"Days=A","Fill=B"))</f>
        <v/>
      </c>
      <c r="N25" t="inlineStr">
        <is>
          <t>US TIPS 5Y real yield CMT - confirmar ticker</t>
        </is>
      </c>
    </row>
    <row r="26">
      <c r="A26" t="n">
        <v>25</v>
      </c>
      <c r="B26" t="inlineStr">
        <is>
          <t>real_curve</t>
        </is>
      </c>
      <c r="C26" t="inlineStr">
        <is>
          <t>US</t>
        </is>
      </c>
      <c r="D26" t="inlineStr">
        <is>
          <t>TIPS</t>
        </is>
      </c>
      <c r="E26" t="inlineStr">
        <is>
          <t>10Y</t>
        </is>
      </c>
      <c r="F26" t="n">
        <v>10</v>
      </c>
      <c r="G26" t="inlineStr">
        <is>
          <t>USGGT10Y Index</t>
        </is>
      </c>
      <c r="H26" t="inlineStr">
        <is>
          <t>PX_LAST</t>
        </is>
      </c>
      <c r="I26" t="inlineStr">
        <is>
          <t>percent</t>
        </is>
      </c>
      <c r="J26" s="8">
        <f>IFERROR(INDEX(BDH($G$26,$H$26,'01_Parametros'!$B$3,'01_Parametros'!$B$3,"Days=A","Fill=B","Dir=H"),1,2),BDH($G$26,$H$26,'01_Parametros'!$B$3,'01_Parametros'!$B$3,"Days=A","Fill=B"))</f>
        <v/>
      </c>
      <c r="K26" s="8">
        <f>IFERROR(INDEX(BDH($G$26,$H$26,'01_Parametros'!$B$5,'01_Parametros'!$B$5,"Days=A","Fill=B","Dir=H"),1,2),BDH($G$26,$H$26,'01_Parametros'!$B$5,'01_Parametros'!$B$5,"Days=A","Fill=B"))</f>
        <v/>
      </c>
      <c r="L26" s="8">
        <f>IFERROR(INDEX(BDH($G$26,$H$26,'01_Parametros'!$B$6,'01_Parametros'!$B$6,"Days=A","Fill=B","Dir=H"),1,2),BDH($G$26,$H$26,'01_Parametros'!$B$6,'01_Parametros'!$B$6,"Days=A","Fill=B"))</f>
        <v/>
      </c>
      <c r="M26" s="8">
        <f>IFERROR(INDEX(BDH($G$26,$H$26,'01_Parametros'!$B$7,'01_Parametros'!$B$7,"Days=A","Fill=B","Dir=H"),1,2),BDH($G$26,$H$26,'01_Parametros'!$B$7,'01_Parametros'!$B$7,"Days=A","Fill=B"))</f>
        <v/>
      </c>
      <c r="N26" t="inlineStr">
        <is>
          <t>US TIPS 10Y real yield CMT - confirmar ticker</t>
        </is>
      </c>
    </row>
    <row r="27">
      <c r="A27" t="n">
        <v>26</v>
      </c>
      <c r="B27" t="inlineStr">
        <is>
          <t>real_curve</t>
        </is>
      </c>
      <c r="C27" t="inlineStr">
        <is>
          <t>US</t>
        </is>
      </c>
      <c r="D27" t="inlineStr">
        <is>
          <t>TIPS</t>
        </is>
      </c>
      <c r="E27" t="inlineStr">
        <is>
          <t>20Y</t>
        </is>
      </c>
      <c r="F27" t="n">
        <v>20</v>
      </c>
      <c r="G27" t="inlineStr">
        <is>
          <t>USGGT20Y Index</t>
        </is>
      </c>
      <c r="H27" t="inlineStr">
        <is>
          <t>PX_LAST</t>
        </is>
      </c>
      <c r="I27" t="inlineStr">
        <is>
          <t>percent</t>
        </is>
      </c>
      <c r="J27" s="8">
        <f>IFERROR(INDEX(BDH($G$27,$H$27,'01_Parametros'!$B$3,'01_Parametros'!$B$3,"Days=A","Fill=B","Dir=H"),1,2),BDH($G$27,$H$27,'01_Parametros'!$B$3,'01_Parametros'!$B$3,"Days=A","Fill=B"))</f>
        <v/>
      </c>
      <c r="K27" s="8">
        <f>IFERROR(INDEX(BDH($G$27,$H$27,'01_Parametros'!$B$5,'01_Parametros'!$B$5,"Days=A","Fill=B","Dir=H"),1,2),BDH($G$27,$H$27,'01_Parametros'!$B$5,'01_Parametros'!$B$5,"Days=A","Fill=B"))</f>
        <v/>
      </c>
      <c r="L27" s="8">
        <f>IFERROR(INDEX(BDH($G$27,$H$27,'01_Parametros'!$B$6,'01_Parametros'!$B$6,"Days=A","Fill=B","Dir=H"),1,2),BDH($G$27,$H$27,'01_Parametros'!$B$6,'01_Parametros'!$B$6,"Days=A","Fill=B"))</f>
        <v/>
      </c>
      <c r="M27" s="8">
        <f>IFERROR(INDEX(BDH($G$27,$H$27,'01_Parametros'!$B$7,'01_Parametros'!$B$7,"Days=A","Fill=B","Dir=H"),1,2),BDH($G$27,$H$27,'01_Parametros'!$B$7,'01_Parametros'!$B$7,"Days=A","Fill=B"))</f>
        <v/>
      </c>
      <c r="N27" t="inlineStr">
        <is>
          <t>US TIPS 20Y real yield CMT - confirmar ticker</t>
        </is>
      </c>
    </row>
    <row r="28">
      <c r="A28" t="n">
        <v>27</v>
      </c>
      <c r="B28" t="inlineStr">
        <is>
          <t>real_curve</t>
        </is>
      </c>
      <c r="C28" t="inlineStr">
        <is>
          <t>US</t>
        </is>
      </c>
      <c r="D28" t="inlineStr">
        <is>
          <t>TIPS</t>
        </is>
      </c>
      <c r="E28" t="inlineStr">
        <is>
          <t>30Y</t>
        </is>
      </c>
      <c r="F28" t="n">
        <v>30</v>
      </c>
      <c r="G28" t="inlineStr">
        <is>
          <t>USGGT30Y Index</t>
        </is>
      </c>
      <c r="H28" t="inlineStr">
        <is>
          <t>PX_LAST</t>
        </is>
      </c>
      <c r="I28" t="inlineStr">
        <is>
          <t>percent</t>
        </is>
      </c>
      <c r="J28" s="8">
        <f>IFERROR(INDEX(BDH($G$28,$H$28,'01_Parametros'!$B$3,'01_Parametros'!$B$3,"Days=A","Fill=B","Dir=H"),1,2),BDH($G$28,$H$28,'01_Parametros'!$B$3,'01_Parametros'!$B$3,"Days=A","Fill=B"))</f>
        <v/>
      </c>
      <c r="K28" s="8">
        <f>IFERROR(INDEX(BDH($G$28,$H$28,'01_Parametros'!$B$5,'01_Parametros'!$B$5,"Days=A","Fill=B","Dir=H"),1,2),BDH($G$28,$H$28,'01_Parametros'!$B$5,'01_Parametros'!$B$5,"Days=A","Fill=B"))</f>
        <v/>
      </c>
      <c r="L28" s="8">
        <f>IFERROR(INDEX(BDH($G$28,$H$28,'01_Parametros'!$B$6,'01_Parametros'!$B$6,"Days=A","Fill=B","Dir=H"),1,2),BDH($G$28,$H$28,'01_Parametros'!$B$6,'01_Parametros'!$B$6,"Days=A","Fill=B"))</f>
        <v/>
      </c>
      <c r="M28" s="8">
        <f>IFERROR(INDEX(BDH($G$28,$H$28,'01_Parametros'!$B$7,'01_Parametros'!$B$7,"Days=A","Fill=B","Dir=H"),1,2),BDH($G$28,$H$28,'01_Parametros'!$B$7,'01_Parametros'!$B$7,"Days=A","Fill=B"))</f>
        <v/>
      </c>
      <c r="N28" t="inlineStr">
        <is>
          <t>US TIPS 30Y real yield CMT - confirmar ticker</t>
        </is>
      </c>
    </row>
    <row r="29">
      <c r="A29" t="n">
        <v>28</v>
      </c>
      <c r="B29" t="inlineStr">
        <is>
          <t>breakeven</t>
        </is>
      </c>
      <c r="C29" t="inlineStr">
        <is>
          <t>US</t>
        </is>
      </c>
      <c r="D29" t="inlineStr">
        <is>
          <t>BE_INFL</t>
        </is>
      </c>
      <c r="E29" t="inlineStr">
        <is>
          <t>2Y</t>
        </is>
      </c>
      <c r="F29" t="n">
        <v>2</v>
      </c>
      <c r="G29" t="inlineStr">
        <is>
          <t>USGGBE02 Index</t>
        </is>
      </c>
      <c r="H29" t="inlineStr">
        <is>
          <t>PX_LAST</t>
        </is>
      </c>
      <c r="I29" t="inlineStr">
        <is>
          <t>percent</t>
        </is>
      </c>
      <c r="J29" s="8">
        <f>IFERROR(INDEX(BDH($G$29,$H$29,'01_Parametros'!$B$3,'01_Parametros'!$B$3,"Days=A","Fill=B","Dir=H"),1,2),BDH($G$29,$H$29,'01_Parametros'!$B$3,'01_Parametros'!$B$3,"Days=A","Fill=B"))</f>
        <v/>
      </c>
      <c r="K29" s="8">
        <f>IFERROR(INDEX(BDH($G$29,$H$29,'01_Parametros'!$B$5,'01_Parametros'!$B$5,"Days=A","Fill=B","Dir=H"),1,2),BDH($G$29,$H$29,'01_Parametros'!$B$5,'01_Parametros'!$B$5,"Days=A","Fill=B"))</f>
        <v/>
      </c>
      <c r="L29" s="8">
        <f>IFERROR(INDEX(BDH($G$29,$H$29,'01_Parametros'!$B$6,'01_Parametros'!$B$6,"Days=A","Fill=B","Dir=H"),1,2),BDH($G$29,$H$29,'01_Parametros'!$B$6,'01_Parametros'!$B$6,"Days=A","Fill=B"))</f>
        <v/>
      </c>
      <c r="M29" s="8">
        <f>IFERROR(INDEX(BDH($G$29,$H$29,'01_Parametros'!$B$7,'01_Parametros'!$B$7,"Days=A","Fill=B","Dir=H"),1,2),BDH($G$29,$H$29,'01_Parametros'!$B$7,'01_Parametros'!$B$7,"Days=A","Fill=B"))</f>
        <v/>
      </c>
      <c r="N29" t="inlineStr">
        <is>
          <t>US 2Y breakeven inflation</t>
        </is>
      </c>
    </row>
    <row r="30">
      <c r="A30" t="n">
        <v>29</v>
      </c>
      <c r="B30" t="inlineStr">
        <is>
          <t>breakeven</t>
        </is>
      </c>
      <c r="C30" t="inlineStr">
        <is>
          <t>US</t>
        </is>
      </c>
      <c r="D30" t="inlineStr">
        <is>
          <t>BE_INFL</t>
        </is>
      </c>
      <c r="E30" t="inlineStr">
        <is>
          <t>5Y</t>
        </is>
      </c>
      <c r="F30" t="n">
        <v>5</v>
      </c>
      <c r="G30" t="inlineStr">
        <is>
          <t>USGGBE05 Index</t>
        </is>
      </c>
      <c r="H30" t="inlineStr">
        <is>
          <t>PX_LAST</t>
        </is>
      </c>
      <c r="I30" t="inlineStr">
        <is>
          <t>percent</t>
        </is>
      </c>
      <c r="J30" s="8">
        <f>IFERROR(INDEX(BDH($G$30,$H$30,'01_Parametros'!$B$3,'01_Parametros'!$B$3,"Days=A","Fill=B","Dir=H"),1,2),BDH($G$30,$H$30,'01_Parametros'!$B$3,'01_Parametros'!$B$3,"Days=A","Fill=B"))</f>
        <v/>
      </c>
      <c r="K30" s="8">
        <f>IFERROR(INDEX(BDH($G$30,$H$30,'01_Parametros'!$B$5,'01_Parametros'!$B$5,"Days=A","Fill=B","Dir=H"),1,2),BDH($G$30,$H$30,'01_Parametros'!$B$5,'01_Parametros'!$B$5,"Days=A","Fill=B"))</f>
        <v/>
      </c>
      <c r="L30" s="8">
        <f>IFERROR(INDEX(BDH($G$30,$H$30,'01_Parametros'!$B$6,'01_Parametros'!$B$6,"Days=A","Fill=B","Dir=H"),1,2),BDH($G$30,$H$30,'01_Parametros'!$B$6,'01_Parametros'!$B$6,"Days=A","Fill=B"))</f>
        <v/>
      </c>
      <c r="M30" s="8">
        <f>IFERROR(INDEX(BDH($G$30,$H$30,'01_Parametros'!$B$7,'01_Parametros'!$B$7,"Days=A","Fill=B","Dir=H"),1,2),BDH($G$30,$H$30,'01_Parametros'!$B$7,'01_Parametros'!$B$7,"Days=A","Fill=B"))</f>
        <v/>
      </c>
      <c r="N30" t="inlineStr">
        <is>
          <t>US 5Y breakeven inflation</t>
        </is>
      </c>
    </row>
    <row r="31">
      <c r="A31" t="n">
        <v>30</v>
      </c>
      <c r="B31" t="inlineStr">
        <is>
          <t>breakeven</t>
        </is>
      </c>
      <c r="C31" t="inlineStr">
        <is>
          <t>US</t>
        </is>
      </c>
      <c r="D31" t="inlineStr">
        <is>
          <t>BE_INFL</t>
        </is>
      </c>
      <c r="E31" t="inlineStr">
        <is>
          <t>10Y</t>
        </is>
      </c>
      <c r="F31" t="n">
        <v>10</v>
      </c>
      <c r="G31" t="inlineStr">
        <is>
          <t>USGGBE10 Index</t>
        </is>
      </c>
      <c r="H31" t="inlineStr">
        <is>
          <t>PX_LAST</t>
        </is>
      </c>
      <c r="I31" t="inlineStr">
        <is>
          <t>percent</t>
        </is>
      </c>
      <c r="J31" s="8">
        <f>IFERROR(INDEX(BDH($G$31,$H$31,'01_Parametros'!$B$3,'01_Parametros'!$B$3,"Days=A","Fill=B","Dir=H"),1,2),BDH($G$31,$H$31,'01_Parametros'!$B$3,'01_Parametros'!$B$3,"Days=A","Fill=B"))</f>
        <v/>
      </c>
      <c r="K31" s="8">
        <f>IFERROR(INDEX(BDH($G$31,$H$31,'01_Parametros'!$B$5,'01_Parametros'!$B$5,"Days=A","Fill=B","Dir=H"),1,2),BDH($G$31,$H$31,'01_Parametros'!$B$5,'01_Parametros'!$B$5,"Days=A","Fill=B"))</f>
        <v/>
      </c>
      <c r="L31" s="8">
        <f>IFERROR(INDEX(BDH($G$31,$H$31,'01_Parametros'!$B$6,'01_Parametros'!$B$6,"Days=A","Fill=B","Dir=H"),1,2),BDH($G$31,$H$31,'01_Parametros'!$B$6,'01_Parametros'!$B$6,"Days=A","Fill=B"))</f>
        <v/>
      </c>
      <c r="M31" s="8">
        <f>IFERROR(INDEX(BDH($G$31,$H$31,'01_Parametros'!$B$7,'01_Parametros'!$B$7,"Days=A","Fill=B","Dir=H"),1,2),BDH($G$31,$H$31,'01_Parametros'!$B$7,'01_Parametros'!$B$7,"Days=A","Fill=B"))</f>
        <v/>
      </c>
      <c r="N31" t="inlineStr">
        <is>
          <t>US 10Y breakeven inflation</t>
        </is>
      </c>
    </row>
    <row r="32">
      <c r="A32" t="n">
        <v>31</v>
      </c>
      <c r="B32" t="inlineStr">
        <is>
          <t>breakeven</t>
        </is>
      </c>
      <c r="C32" t="inlineStr">
        <is>
          <t>US</t>
        </is>
      </c>
      <c r="D32" t="inlineStr">
        <is>
          <t>BE_INFL</t>
        </is>
      </c>
      <c r="E32" t="inlineStr">
        <is>
          <t>30Y</t>
        </is>
      </c>
      <c r="F32" t="n">
        <v>30</v>
      </c>
      <c r="G32" t="inlineStr">
        <is>
          <t>USGGBE30 Index</t>
        </is>
      </c>
      <c r="H32" t="inlineStr">
        <is>
          <t>PX_LAST</t>
        </is>
      </c>
      <c r="I32" t="inlineStr">
        <is>
          <t>percent</t>
        </is>
      </c>
      <c r="J32" s="8">
        <f>IFERROR(INDEX(BDH($G$32,$H$32,'01_Parametros'!$B$3,'01_Parametros'!$B$3,"Days=A","Fill=B","Dir=H"),1,2),BDH($G$32,$H$32,'01_Parametros'!$B$3,'01_Parametros'!$B$3,"Days=A","Fill=B"))</f>
        <v/>
      </c>
      <c r="K32" s="8">
        <f>IFERROR(INDEX(BDH($G$32,$H$32,'01_Parametros'!$B$5,'01_Parametros'!$B$5,"Days=A","Fill=B","Dir=H"),1,2),BDH($G$32,$H$32,'01_Parametros'!$B$5,'01_Parametros'!$B$5,"Days=A","Fill=B"))</f>
        <v/>
      </c>
      <c r="L32" s="8">
        <f>IFERROR(INDEX(BDH($G$32,$H$32,'01_Parametros'!$B$6,'01_Parametros'!$B$6,"Days=A","Fill=B","Dir=H"),1,2),BDH($G$32,$H$32,'01_Parametros'!$B$6,'01_Parametros'!$B$6,"Days=A","Fill=B"))</f>
        <v/>
      </c>
      <c r="M32" s="8">
        <f>IFERROR(INDEX(BDH($G$32,$H$32,'01_Parametros'!$B$7,'01_Parametros'!$B$7,"Days=A","Fill=B","Dir=H"),1,2),BDH($G$32,$H$32,'01_Parametros'!$B$7,'01_Parametros'!$B$7,"Days=A","Fill=B"))</f>
        <v/>
      </c>
      <c r="N32" t="inlineStr">
        <is>
          <t>US 30Y breakeven inflation</t>
        </is>
      </c>
    </row>
    <row r="33">
      <c r="A33" t="n">
        <v>32</v>
      </c>
      <c r="B33" t="inlineStr">
        <is>
          <t>swap_curve</t>
        </is>
      </c>
      <c r="C33" t="inlineStr">
        <is>
          <t>US</t>
        </is>
      </c>
      <c r="D33" t="inlineStr">
        <is>
          <t>SOFR_OIS</t>
        </is>
      </c>
      <c r="E33" t="inlineStr">
        <is>
          <t>2Y</t>
        </is>
      </c>
      <c r="F33" t="n">
        <v>2</v>
      </c>
      <c r="G33" t="inlineStr">
        <is>
          <t>USOSFR2 BGN Curncy</t>
        </is>
      </c>
      <c r="H33" t="inlineStr">
        <is>
          <t>PX_LAST</t>
        </is>
      </c>
      <c r="I33" t="inlineStr">
        <is>
          <t>percent</t>
        </is>
      </c>
      <c r="J33" s="8">
        <f>IFERROR(INDEX(BDH($G$33,$H$33,'01_Parametros'!$B$3,'01_Parametros'!$B$3,"Days=A","Fill=B","Dir=H"),1,2),BDH($G$33,$H$33,'01_Parametros'!$B$3,'01_Parametros'!$B$3,"Days=A","Fill=B"))</f>
        <v/>
      </c>
      <c r="K33" s="8">
        <f>IFERROR(INDEX(BDH($G$33,$H$33,'01_Parametros'!$B$5,'01_Parametros'!$B$5,"Days=A","Fill=B","Dir=H"),1,2),BDH($G$33,$H$33,'01_Parametros'!$B$5,'01_Parametros'!$B$5,"Days=A","Fill=B"))</f>
        <v/>
      </c>
      <c r="L33" s="8">
        <f>IFERROR(INDEX(BDH($G$33,$H$33,'01_Parametros'!$B$6,'01_Parametros'!$B$6,"Days=A","Fill=B","Dir=H"),1,2),BDH($G$33,$H$33,'01_Parametros'!$B$6,'01_Parametros'!$B$6,"Days=A","Fill=B"))</f>
        <v/>
      </c>
      <c r="M33" s="8">
        <f>IFERROR(INDEX(BDH($G$33,$H$33,'01_Parametros'!$B$7,'01_Parametros'!$B$7,"Days=A","Fill=B","Dir=H"),1,2),BDH($G$33,$H$33,'01_Parametros'!$B$7,'01_Parametros'!$B$7,"Days=A","Fill=B"))</f>
        <v/>
      </c>
      <c r="N33" t="inlineStr">
        <is>
          <t>USD SOFR OIS 2Y - confirmar convencion</t>
        </is>
      </c>
    </row>
    <row r="34">
      <c r="A34" t="n">
        <v>33</v>
      </c>
      <c r="B34" t="inlineStr">
        <is>
          <t>swap_curve</t>
        </is>
      </c>
      <c r="C34" t="inlineStr">
        <is>
          <t>US</t>
        </is>
      </c>
      <c r="D34" t="inlineStr">
        <is>
          <t>SOFR_OIS</t>
        </is>
      </c>
      <c r="E34" t="inlineStr">
        <is>
          <t>5Y</t>
        </is>
      </c>
      <c r="F34" t="n">
        <v>5</v>
      </c>
      <c r="G34" t="inlineStr">
        <is>
          <t>USOSFR5 BGN Curncy</t>
        </is>
      </c>
      <c r="H34" t="inlineStr">
        <is>
          <t>PX_LAST</t>
        </is>
      </c>
      <c r="I34" t="inlineStr">
        <is>
          <t>percent</t>
        </is>
      </c>
      <c r="J34" s="8">
        <f>IFERROR(INDEX(BDH($G$34,$H$34,'01_Parametros'!$B$3,'01_Parametros'!$B$3,"Days=A","Fill=B","Dir=H"),1,2),BDH($G$34,$H$34,'01_Parametros'!$B$3,'01_Parametros'!$B$3,"Days=A","Fill=B"))</f>
        <v/>
      </c>
      <c r="K34" s="8">
        <f>IFERROR(INDEX(BDH($G$34,$H$34,'01_Parametros'!$B$5,'01_Parametros'!$B$5,"Days=A","Fill=B","Dir=H"),1,2),BDH($G$34,$H$34,'01_Parametros'!$B$5,'01_Parametros'!$B$5,"Days=A","Fill=B"))</f>
        <v/>
      </c>
      <c r="L34" s="8">
        <f>IFERROR(INDEX(BDH($G$34,$H$34,'01_Parametros'!$B$6,'01_Parametros'!$B$6,"Days=A","Fill=B","Dir=H"),1,2),BDH($G$34,$H$34,'01_Parametros'!$B$6,'01_Parametros'!$B$6,"Days=A","Fill=B"))</f>
        <v/>
      </c>
      <c r="M34" s="8">
        <f>IFERROR(INDEX(BDH($G$34,$H$34,'01_Parametros'!$B$7,'01_Parametros'!$B$7,"Days=A","Fill=B","Dir=H"),1,2),BDH($G$34,$H$34,'01_Parametros'!$B$7,'01_Parametros'!$B$7,"Days=A","Fill=B"))</f>
        <v/>
      </c>
      <c r="N34" t="inlineStr">
        <is>
          <t>USD SOFR OIS 5Y - confirmar convencion</t>
        </is>
      </c>
    </row>
    <row r="35">
      <c r="A35" t="n">
        <v>34</v>
      </c>
      <c r="B35" t="inlineStr">
        <is>
          <t>swap_curve</t>
        </is>
      </c>
      <c r="C35" t="inlineStr">
        <is>
          <t>US</t>
        </is>
      </c>
      <c r="D35" t="inlineStr">
        <is>
          <t>SOFR_OIS</t>
        </is>
      </c>
      <c r="E35" t="inlineStr">
        <is>
          <t>10Y</t>
        </is>
      </c>
      <c r="F35" t="n">
        <v>10</v>
      </c>
      <c r="G35" t="inlineStr">
        <is>
          <t>USOSFR10 BGN Curncy</t>
        </is>
      </c>
      <c r="H35" t="inlineStr">
        <is>
          <t>PX_LAST</t>
        </is>
      </c>
      <c r="I35" t="inlineStr">
        <is>
          <t>percent</t>
        </is>
      </c>
      <c r="J35" s="8">
        <f>IFERROR(INDEX(BDH($G$35,$H$35,'01_Parametros'!$B$3,'01_Parametros'!$B$3,"Days=A","Fill=B","Dir=H"),1,2),BDH($G$35,$H$35,'01_Parametros'!$B$3,'01_Parametros'!$B$3,"Days=A","Fill=B"))</f>
        <v/>
      </c>
      <c r="K35" s="8">
        <f>IFERROR(INDEX(BDH($G$35,$H$35,'01_Parametros'!$B$5,'01_Parametros'!$B$5,"Days=A","Fill=B","Dir=H"),1,2),BDH($G$35,$H$35,'01_Parametros'!$B$5,'01_Parametros'!$B$5,"Days=A","Fill=B"))</f>
        <v/>
      </c>
      <c r="L35" s="8">
        <f>IFERROR(INDEX(BDH($G$35,$H$35,'01_Parametros'!$B$6,'01_Parametros'!$B$6,"Days=A","Fill=B","Dir=H"),1,2),BDH($G$35,$H$35,'01_Parametros'!$B$6,'01_Parametros'!$B$6,"Days=A","Fill=B"))</f>
        <v/>
      </c>
      <c r="M35" s="8">
        <f>IFERROR(INDEX(BDH($G$35,$H$35,'01_Parametros'!$B$7,'01_Parametros'!$B$7,"Days=A","Fill=B","Dir=H"),1,2),BDH($G$35,$H$35,'01_Parametros'!$B$7,'01_Parametros'!$B$7,"Days=A","Fill=B"))</f>
        <v/>
      </c>
      <c r="N35" t="inlineStr">
        <is>
          <t>USD SOFR OIS 10Y - confirmar convencion</t>
        </is>
      </c>
    </row>
    <row r="36">
      <c r="A36" t="n">
        <v>35</v>
      </c>
      <c r="B36" t="inlineStr">
        <is>
          <t>swap_curve</t>
        </is>
      </c>
      <c r="C36" t="inlineStr">
        <is>
          <t>US</t>
        </is>
      </c>
      <c r="D36" t="inlineStr">
        <is>
          <t>SOFR_OIS</t>
        </is>
      </c>
      <c r="E36" t="inlineStr">
        <is>
          <t>30Y</t>
        </is>
      </c>
      <c r="F36" t="n">
        <v>30</v>
      </c>
      <c r="G36" t="inlineStr">
        <is>
          <t>USOSFR30 BGN Curncy</t>
        </is>
      </c>
      <c r="H36" t="inlineStr">
        <is>
          <t>PX_LAST</t>
        </is>
      </c>
      <c r="I36" t="inlineStr">
        <is>
          <t>percent</t>
        </is>
      </c>
      <c r="J36" s="8">
        <f>IFERROR(INDEX(BDH($G$36,$H$36,'01_Parametros'!$B$3,'01_Parametros'!$B$3,"Days=A","Fill=B","Dir=H"),1,2),BDH($G$36,$H$36,'01_Parametros'!$B$3,'01_Parametros'!$B$3,"Days=A","Fill=B"))</f>
        <v/>
      </c>
      <c r="K36" s="8">
        <f>IFERROR(INDEX(BDH($G$36,$H$36,'01_Parametros'!$B$5,'01_Parametros'!$B$5,"Days=A","Fill=B","Dir=H"),1,2),BDH($G$36,$H$36,'01_Parametros'!$B$5,'01_Parametros'!$B$5,"Days=A","Fill=B"))</f>
        <v/>
      </c>
      <c r="L36" s="8">
        <f>IFERROR(INDEX(BDH($G$36,$H$36,'01_Parametros'!$B$6,'01_Parametros'!$B$6,"Days=A","Fill=B","Dir=H"),1,2),BDH($G$36,$H$36,'01_Parametros'!$B$6,'01_Parametros'!$B$6,"Days=A","Fill=B"))</f>
        <v/>
      </c>
      <c r="M36" s="8">
        <f>IFERROR(INDEX(BDH($G$36,$H$36,'01_Parametros'!$B$7,'01_Parametros'!$B$7,"Days=A","Fill=B","Dir=H"),1,2),BDH($G$36,$H$36,'01_Parametros'!$B$7,'01_Parametros'!$B$7,"Days=A","Fill=B"))</f>
        <v/>
      </c>
      <c r="N36" t="inlineStr">
        <is>
          <t>USD SOFR OIS 30Y - confirmar convencion</t>
        </is>
      </c>
    </row>
    <row r="37">
      <c r="A37" t="n">
        <v>36</v>
      </c>
      <c r="B37" t="inlineStr">
        <is>
          <t>policy</t>
        </is>
      </c>
      <c r="C37" t="inlineStr">
        <is>
          <t>EU</t>
        </is>
      </c>
      <c r="D37" t="inlineStr">
        <is>
          <t>ECB_DFR</t>
        </is>
      </c>
      <c r="E37" t="inlineStr">
        <is>
          <t>—</t>
        </is>
      </c>
      <c r="F37" t="n">
        <v>0</v>
      </c>
      <c r="G37" t="inlineStr">
        <is>
          <t>EURR002W Index</t>
        </is>
      </c>
      <c r="H37" t="inlineStr">
        <is>
          <t>PX_LAST</t>
        </is>
      </c>
      <c r="I37" t="inlineStr">
        <is>
          <t>percent</t>
        </is>
      </c>
      <c r="J37" s="8">
        <f>IFERROR(INDEX(BDH($G$37,$H$37,'01_Parametros'!$B$3,'01_Parametros'!$B$3,"Days=A","Fill=B","Dir=H"),1,2),BDH($G$37,$H$37,'01_Parametros'!$B$3,'01_Parametros'!$B$3,"Days=A","Fill=B"))</f>
        <v/>
      </c>
      <c r="K37" s="8">
        <f>IFERROR(INDEX(BDH($G$37,$H$37,'01_Parametros'!$B$5,'01_Parametros'!$B$5,"Days=A","Fill=B","Dir=H"),1,2),BDH($G$37,$H$37,'01_Parametros'!$B$5,'01_Parametros'!$B$5,"Days=A","Fill=B"))</f>
        <v/>
      </c>
      <c r="L37" s="8">
        <f>IFERROR(INDEX(BDH($G$37,$H$37,'01_Parametros'!$B$6,'01_Parametros'!$B$6,"Days=A","Fill=B","Dir=H"),1,2),BDH($G$37,$H$37,'01_Parametros'!$B$6,'01_Parametros'!$B$6,"Days=A","Fill=B"))</f>
        <v/>
      </c>
      <c r="M37" s="8">
        <f>IFERROR(INDEX(BDH($G$37,$H$37,'01_Parametros'!$B$7,'01_Parametros'!$B$7,"Days=A","Fill=B","Dir=H"),1,2),BDH($G$37,$H$37,'01_Parametros'!$B$7,'01_Parametros'!$B$7,"Days=A","Fill=B"))</f>
        <v/>
      </c>
      <c r="N37" t="inlineStr">
        <is>
          <t>ECB Deposit Facility Rate</t>
        </is>
      </c>
    </row>
    <row r="38">
      <c r="A38" t="n">
        <v>37</v>
      </c>
      <c r="B38" t="inlineStr">
        <is>
          <t>policy</t>
        </is>
      </c>
      <c r="C38" t="inlineStr">
        <is>
          <t>EU</t>
        </is>
      </c>
      <c r="D38" t="inlineStr">
        <is>
          <t>ECB_MRO</t>
        </is>
      </c>
      <c r="E38" t="inlineStr">
        <is>
          <t>—</t>
        </is>
      </c>
      <c r="F38" t="n">
        <v>0</v>
      </c>
      <c r="G38" t="inlineStr">
        <is>
          <t>EURMR1WI Index</t>
        </is>
      </c>
      <c r="H38" t="inlineStr">
        <is>
          <t>PX_LAST</t>
        </is>
      </c>
      <c r="I38" t="inlineStr">
        <is>
          <t>percent</t>
        </is>
      </c>
      <c r="J38" s="8">
        <f>IFERROR(INDEX(BDH($G$38,$H$38,'01_Parametros'!$B$3,'01_Parametros'!$B$3,"Days=A","Fill=B","Dir=H"),1,2),BDH($G$38,$H$38,'01_Parametros'!$B$3,'01_Parametros'!$B$3,"Days=A","Fill=B"))</f>
        <v/>
      </c>
      <c r="K38" s="8">
        <f>IFERROR(INDEX(BDH($G$38,$H$38,'01_Parametros'!$B$5,'01_Parametros'!$B$5,"Days=A","Fill=B","Dir=H"),1,2),BDH($G$38,$H$38,'01_Parametros'!$B$5,'01_Parametros'!$B$5,"Days=A","Fill=B"))</f>
        <v/>
      </c>
      <c r="L38" s="8">
        <f>IFERROR(INDEX(BDH($G$38,$H$38,'01_Parametros'!$B$6,'01_Parametros'!$B$6,"Days=A","Fill=B","Dir=H"),1,2),BDH($G$38,$H$38,'01_Parametros'!$B$6,'01_Parametros'!$B$6,"Days=A","Fill=B"))</f>
        <v/>
      </c>
      <c r="M38" s="8">
        <f>IFERROR(INDEX(BDH($G$38,$H$38,'01_Parametros'!$B$7,'01_Parametros'!$B$7,"Days=A","Fill=B","Dir=H"),1,2),BDH($G$38,$H$38,'01_Parametros'!$B$7,'01_Parametros'!$B$7,"Days=A","Fill=B"))</f>
        <v/>
      </c>
      <c r="N38" t="inlineStr">
        <is>
          <t>ECB Main Refi Operations — confirmar ticker</t>
        </is>
      </c>
    </row>
    <row r="39">
      <c r="A39" t="n">
        <v>38</v>
      </c>
      <c r="B39" t="inlineStr">
        <is>
          <t>policy</t>
        </is>
      </c>
      <c r="C39" t="inlineStr">
        <is>
          <t>GB</t>
        </is>
      </c>
      <c r="D39" t="inlineStr">
        <is>
          <t>BOE_BANK_RATE</t>
        </is>
      </c>
      <c r="E39" t="inlineStr">
        <is>
          <t>—</t>
        </is>
      </c>
      <c r="F39" t="n">
        <v>0</v>
      </c>
      <c r="G39" t="inlineStr">
        <is>
          <t>UKBRBASE Index</t>
        </is>
      </c>
      <c r="H39" t="inlineStr">
        <is>
          <t>PX_LAST</t>
        </is>
      </c>
      <c r="I39" t="inlineStr">
        <is>
          <t>percent</t>
        </is>
      </c>
      <c r="J39" s="8">
        <f>IFERROR(INDEX(BDH($G$39,$H$39,'01_Parametros'!$B$3,'01_Parametros'!$B$3,"Days=A","Fill=B","Dir=H"),1,2),BDH($G$39,$H$39,'01_Parametros'!$B$3,'01_Parametros'!$B$3,"Days=A","Fill=B"))</f>
        <v/>
      </c>
      <c r="K39" s="8">
        <f>IFERROR(INDEX(BDH($G$39,$H$39,'01_Parametros'!$B$5,'01_Parametros'!$B$5,"Days=A","Fill=B","Dir=H"),1,2),BDH($G$39,$H$39,'01_Parametros'!$B$5,'01_Parametros'!$B$5,"Days=A","Fill=B"))</f>
        <v/>
      </c>
      <c r="L39" s="8">
        <f>IFERROR(INDEX(BDH($G$39,$H$39,'01_Parametros'!$B$6,'01_Parametros'!$B$6,"Days=A","Fill=B","Dir=H"),1,2),BDH($G$39,$H$39,'01_Parametros'!$B$6,'01_Parametros'!$B$6,"Days=A","Fill=B"))</f>
        <v/>
      </c>
      <c r="M39" s="8">
        <f>IFERROR(INDEX(BDH($G$39,$H$39,'01_Parametros'!$B$7,'01_Parametros'!$B$7,"Days=A","Fill=B","Dir=H"),1,2),BDH($G$39,$H$39,'01_Parametros'!$B$7,'01_Parametros'!$B$7,"Days=A","Fill=B"))</f>
        <v/>
      </c>
      <c r="N39" t="inlineStr">
        <is>
          <t>BoE Bank Rate</t>
        </is>
      </c>
    </row>
    <row r="40">
      <c r="A40" t="n">
        <v>39</v>
      </c>
      <c r="B40" t="inlineStr">
        <is>
          <t>policy</t>
        </is>
      </c>
      <c r="C40" t="inlineStr">
        <is>
          <t>JP</t>
        </is>
      </c>
      <c r="D40" t="inlineStr">
        <is>
          <t>BOJ_POLICY</t>
        </is>
      </c>
      <c r="E40" t="inlineStr">
        <is>
          <t>—</t>
        </is>
      </c>
      <c r="F40" t="n">
        <v>0</v>
      </c>
      <c r="G40" t="inlineStr">
        <is>
          <t>BOJDPBAL Index</t>
        </is>
      </c>
      <c r="H40" t="inlineStr">
        <is>
          <t>PX_LAST</t>
        </is>
      </c>
      <c r="I40" t="inlineStr">
        <is>
          <t>percent</t>
        </is>
      </c>
      <c r="J40" s="8">
        <f>IFERROR(INDEX(BDH($G$40,$H$40,'01_Parametros'!$B$3,'01_Parametros'!$B$3,"Days=A","Fill=B","Dir=H"),1,2),BDH($G$40,$H$40,'01_Parametros'!$B$3,'01_Parametros'!$B$3,"Days=A","Fill=B"))</f>
        <v/>
      </c>
      <c r="K40" s="8">
        <f>IFERROR(INDEX(BDH($G$40,$H$40,'01_Parametros'!$B$5,'01_Parametros'!$B$5,"Days=A","Fill=B","Dir=H"),1,2),BDH($G$40,$H$40,'01_Parametros'!$B$5,'01_Parametros'!$B$5,"Days=A","Fill=B"))</f>
        <v/>
      </c>
      <c r="L40" s="8">
        <f>IFERROR(INDEX(BDH($G$40,$H$40,'01_Parametros'!$B$6,'01_Parametros'!$B$6,"Days=A","Fill=B","Dir=H"),1,2),BDH($G$40,$H$40,'01_Parametros'!$B$6,'01_Parametros'!$B$6,"Days=A","Fill=B"))</f>
        <v/>
      </c>
      <c r="M40" s="8">
        <f>IFERROR(INDEX(BDH($G$40,$H$40,'01_Parametros'!$B$7,'01_Parametros'!$B$7,"Days=A","Fill=B","Dir=H"),1,2),BDH($G$40,$H$40,'01_Parametros'!$B$7,'01_Parametros'!$B$7,"Days=A","Fill=B"))</f>
        <v/>
      </c>
      <c r="N40" t="inlineStr">
        <is>
          <t>BoJ policy rate</t>
        </is>
      </c>
    </row>
    <row r="41">
      <c r="A41" t="n">
        <v>40</v>
      </c>
      <c r="B41" t="inlineStr">
        <is>
          <t>policy</t>
        </is>
      </c>
      <c r="C41" t="inlineStr">
        <is>
          <t>CN</t>
        </is>
      </c>
      <c r="D41" t="inlineStr">
        <is>
          <t>PBOC_7D_RR</t>
        </is>
      </c>
      <c r="E41" t="inlineStr">
        <is>
          <t>—</t>
        </is>
      </c>
      <c r="F41" t="n">
        <v>0</v>
      </c>
      <c r="G41" t="inlineStr">
        <is>
          <t>CHRR7TR Index</t>
        </is>
      </c>
      <c r="H41" t="inlineStr">
        <is>
          <t>PX_LAST</t>
        </is>
      </c>
      <c r="I41" t="inlineStr">
        <is>
          <t>percent</t>
        </is>
      </c>
      <c r="J41" s="8">
        <f>IFERROR(INDEX(BDH($G$41,$H$41,'01_Parametros'!$B$3,'01_Parametros'!$B$3,"Days=A","Fill=B","Dir=H"),1,2),BDH($G$41,$H$41,'01_Parametros'!$B$3,'01_Parametros'!$B$3,"Days=A","Fill=B"))</f>
        <v/>
      </c>
      <c r="K41" s="8">
        <f>IFERROR(INDEX(BDH($G$41,$H$41,'01_Parametros'!$B$5,'01_Parametros'!$B$5,"Days=A","Fill=B","Dir=H"),1,2),BDH($G$41,$H$41,'01_Parametros'!$B$5,'01_Parametros'!$B$5,"Days=A","Fill=B"))</f>
        <v/>
      </c>
      <c r="L41" s="8">
        <f>IFERROR(INDEX(BDH($G$41,$H$41,'01_Parametros'!$B$6,'01_Parametros'!$B$6,"Days=A","Fill=B","Dir=H"),1,2),BDH($G$41,$H$41,'01_Parametros'!$B$6,'01_Parametros'!$B$6,"Days=A","Fill=B"))</f>
        <v/>
      </c>
      <c r="M41" s="8">
        <f>IFERROR(INDEX(BDH($G$41,$H$41,'01_Parametros'!$B$7,'01_Parametros'!$B$7,"Days=A","Fill=B","Dir=H"),1,2),BDH($G$41,$H$41,'01_Parametros'!$B$7,'01_Parametros'!$B$7,"Days=A","Fill=B"))</f>
        <v/>
      </c>
      <c r="N41" t="inlineStr">
        <is>
          <t>PBoC 7-day reverse repo — confirmar</t>
        </is>
      </c>
    </row>
    <row r="42">
      <c r="A42" t="n">
        <v>41</v>
      </c>
      <c r="B42" t="inlineStr">
        <is>
          <t>policy</t>
        </is>
      </c>
      <c r="C42" t="inlineStr">
        <is>
          <t>BR</t>
        </is>
      </c>
      <c r="D42" t="inlineStr">
        <is>
          <t>SELIC_META</t>
        </is>
      </c>
      <c r="E42" t="inlineStr">
        <is>
          <t>—</t>
        </is>
      </c>
      <c r="F42" t="n">
        <v>0</v>
      </c>
      <c r="G42" t="inlineStr">
        <is>
          <t>BZSTSETA Index</t>
        </is>
      </c>
      <c r="H42" t="inlineStr">
        <is>
          <t>PX_LAST</t>
        </is>
      </c>
      <c r="I42" t="inlineStr">
        <is>
          <t>percent</t>
        </is>
      </c>
      <c r="J42" s="8">
        <f>IFERROR(INDEX(BDH($G$42,$H$42,'01_Parametros'!$B$3,'01_Parametros'!$B$3,"Days=A","Fill=B","Dir=H"),1,2),BDH($G$42,$H$42,'01_Parametros'!$B$3,'01_Parametros'!$B$3,"Days=A","Fill=B"))</f>
        <v/>
      </c>
      <c r="K42" s="8">
        <f>IFERROR(INDEX(BDH($G$42,$H$42,'01_Parametros'!$B$5,'01_Parametros'!$B$5,"Days=A","Fill=B","Dir=H"),1,2),BDH($G$42,$H$42,'01_Parametros'!$B$5,'01_Parametros'!$B$5,"Days=A","Fill=B"))</f>
        <v/>
      </c>
      <c r="L42" s="8">
        <f>IFERROR(INDEX(BDH($G$42,$H$42,'01_Parametros'!$B$6,'01_Parametros'!$B$6,"Days=A","Fill=B","Dir=H"),1,2),BDH($G$42,$H$42,'01_Parametros'!$B$6,'01_Parametros'!$B$6,"Days=A","Fill=B"))</f>
        <v/>
      </c>
      <c r="M42" s="8">
        <f>IFERROR(INDEX(BDH($G$42,$H$42,'01_Parametros'!$B$7,'01_Parametros'!$B$7,"Days=A","Fill=B","Dir=H"),1,2),BDH($G$42,$H$42,'01_Parametros'!$B$7,'01_Parametros'!$B$7,"Days=A","Fill=B"))</f>
        <v/>
      </c>
      <c r="N42" t="inlineStr">
        <is>
          <t>Selic target</t>
        </is>
      </c>
    </row>
    <row r="43">
      <c r="A43" t="n">
        <v>42</v>
      </c>
      <c r="B43" t="inlineStr">
        <is>
          <t>policy</t>
        </is>
      </c>
      <c r="C43" t="inlineStr">
        <is>
          <t>MX</t>
        </is>
      </c>
      <c r="D43" t="inlineStr">
        <is>
          <t>BANXICO_TASA</t>
        </is>
      </c>
      <c r="E43" t="inlineStr">
        <is>
          <t>—</t>
        </is>
      </c>
      <c r="F43" t="n">
        <v>0</v>
      </c>
      <c r="G43" t="inlineStr">
        <is>
          <t>MXONBR Index</t>
        </is>
      </c>
      <c r="H43" t="inlineStr">
        <is>
          <t>PX_LAST</t>
        </is>
      </c>
      <c r="I43" t="inlineStr">
        <is>
          <t>percent</t>
        </is>
      </c>
      <c r="J43" s="8">
        <f>IFERROR(INDEX(BDH($G$43,$H$43,'01_Parametros'!$B$3,'01_Parametros'!$B$3,"Days=A","Fill=B","Dir=H"),1,2),BDH($G$43,$H$43,'01_Parametros'!$B$3,'01_Parametros'!$B$3,"Days=A","Fill=B"))</f>
        <v/>
      </c>
      <c r="K43" s="8">
        <f>IFERROR(INDEX(BDH($G$43,$H$43,'01_Parametros'!$B$5,'01_Parametros'!$B$5,"Days=A","Fill=B","Dir=H"),1,2),BDH($G$43,$H$43,'01_Parametros'!$B$5,'01_Parametros'!$B$5,"Days=A","Fill=B"))</f>
        <v/>
      </c>
      <c r="L43" s="8">
        <f>IFERROR(INDEX(BDH($G$43,$H$43,'01_Parametros'!$B$6,'01_Parametros'!$B$6,"Days=A","Fill=B","Dir=H"),1,2),BDH($G$43,$H$43,'01_Parametros'!$B$6,'01_Parametros'!$B$6,"Days=A","Fill=B"))</f>
        <v/>
      </c>
      <c r="M43" s="8">
        <f>IFERROR(INDEX(BDH($G$43,$H$43,'01_Parametros'!$B$7,'01_Parametros'!$B$7,"Days=A","Fill=B","Dir=H"),1,2),BDH($G$43,$H$43,'01_Parametros'!$B$7,'01_Parametros'!$B$7,"Days=A","Fill=B"))</f>
        <v/>
      </c>
      <c r="N43" t="inlineStr">
        <is>
          <t>Banxico target</t>
        </is>
      </c>
    </row>
    <row r="44">
      <c r="A44" t="n">
        <v>43</v>
      </c>
      <c r="B44" t="inlineStr">
        <is>
          <t>policy</t>
        </is>
      </c>
      <c r="C44" t="inlineStr">
        <is>
          <t>CO</t>
        </is>
      </c>
      <c r="D44" t="inlineStr">
        <is>
          <t>BANREP_TASA</t>
        </is>
      </c>
      <c r="E44" t="inlineStr">
        <is>
          <t>—</t>
        </is>
      </c>
      <c r="F44" t="n">
        <v>0</v>
      </c>
      <c r="G44" t="inlineStr">
        <is>
          <t>COBR Index</t>
        </is>
      </c>
      <c r="H44" t="inlineStr">
        <is>
          <t>PX_LAST</t>
        </is>
      </c>
      <c r="I44" t="inlineStr">
        <is>
          <t>percent</t>
        </is>
      </c>
      <c r="J44" s="8">
        <f>IFERROR(INDEX(BDH($G$44,$H$44,'01_Parametros'!$B$3,'01_Parametros'!$B$3,"Days=A","Fill=B","Dir=H"),1,2),BDH($G$44,$H$44,'01_Parametros'!$B$3,'01_Parametros'!$B$3,"Days=A","Fill=B"))</f>
        <v/>
      </c>
      <c r="K44" s="8">
        <f>IFERROR(INDEX(BDH($G$44,$H$44,'01_Parametros'!$B$5,'01_Parametros'!$B$5,"Days=A","Fill=B","Dir=H"),1,2),BDH($G$44,$H$44,'01_Parametros'!$B$5,'01_Parametros'!$B$5,"Days=A","Fill=B"))</f>
        <v/>
      </c>
      <c r="L44" s="8">
        <f>IFERROR(INDEX(BDH($G$44,$H$44,'01_Parametros'!$B$6,'01_Parametros'!$B$6,"Days=A","Fill=B","Dir=H"),1,2),BDH($G$44,$H$44,'01_Parametros'!$B$6,'01_Parametros'!$B$6,"Days=A","Fill=B"))</f>
        <v/>
      </c>
      <c r="M44" s="8">
        <f>IFERROR(INDEX(BDH($G$44,$H$44,'01_Parametros'!$B$7,'01_Parametros'!$B$7,"Days=A","Fill=B","Dir=H"),1,2),BDH($G$44,$H$44,'01_Parametros'!$B$7,'01_Parametros'!$B$7,"Days=A","Fill=B"))</f>
        <v/>
      </c>
      <c r="N44" t="inlineStr">
        <is>
          <t>BanRep target</t>
        </is>
      </c>
    </row>
    <row r="45">
      <c r="A45" t="n">
        <v>44</v>
      </c>
      <c r="B45" t="inlineStr">
        <is>
          <t>yield_curve</t>
        </is>
      </c>
      <c r="C45" t="inlineStr">
        <is>
          <t>DE</t>
        </is>
      </c>
      <c r="D45" t="inlineStr">
        <is>
          <t>BUND</t>
        </is>
      </c>
      <c r="E45" t="inlineStr">
        <is>
          <t>10Y</t>
        </is>
      </c>
      <c r="F45" t="n">
        <v>10</v>
      </c>
      <c r="G45" t="inlineStr">
        <is>
          <t>GDBR10 Index</t>
        </is>
      </c>
      <c r="H45" t="inlineStr">
        <is>
          <t>PX_LAST</t>
        </is>
      </c>
      <c r="I45" t="inlineStr">
        <is>
          <t>percent</t>
        </is>
      </c>
      <c r="J45" s="8">
        <f>IFERROR(INDEX(BDH($G$45,$H$45,'01_Parametros'!$B$3,'01_Parametros'!$B$3,"Days=A","Fill=B","Dir=H"),1,2),BDH($G$45,$H$45,'01_Parametros'!$B$3,'01_Parametros'!$B$3,"Days=A","Fill=B"))</f>
        <v/>
      </c>
      <c r="K45" s="8">
        <f>IFERROR(INDEX(BDH($G$45,$H$45,'01_Parametros'!$B$5,'01_Parametros'!$B$5,"Days=A","Fill=B","Dir=H"),1,2),BDH($G$45,$H$45,'01_Parametros'!$B$5,'01_Parametros'!$B$5,"Days=A","Fill=B"))</f>
        <v/>
      </c>
      <c r="L45" s="8">
        <f>IFERROR(INDEX(BDH($G$45,$H$45,'01_Parametros'!$B$6,'01_Parametros'!$B$6,"Days=A","Fill=B","Dir=H"),1,2),BDH($G$45,$H$45,'01_Parametros'!$B$6,'01_Parametros'!$B$6,"Days=A","Fill=B"))</f>
        <v/>
      </c>
      <c r="M45" s="8">
        <f>IFERROR(INDEX(BDH($G$45,$H$45,'01_Parametros'!$B$7,'01_Parametros'!$B$7,"Days=A","Fill=B","Dir=H"),1,2),BDH($G$45,$H$45,'01_Parametros'!$B$7,'01_Parametros'!$B$7,"Days=A","Fill=B"))</f>
        <v/>
      </c>
      <c r="N45" t="inlineStr">
        <is>
          <t>Germany Bund 10Y</t>
        </is>
      </c>
    </row>
    <row r="46">
      <c r="A46" t="n">
        <v>45</v>
      </c>
      <c r="B46" t="inlineStr">
        <is>
          <t>yield_curve</t>
        </is>
      </c>
      <c r="C46" t="inlineStr">
        <is>
          <t>GB</t>
        </is>
      </c>
      <c r="D46" t="inlineStr">
        <is>
          <t>GILT</t>
        </is>
      </c>
      <c r="E46" t="inlineStr">
        <is>
          <t>10Y</t>
        </is>
      </c>
      <c r="F46" t="n">
        <v>10</v>
      </c>
      <c r="G46" t="inlineStr">
        <is>
          <t>GUKG10 Index</t>
        </is>
      </c>
      <c r="H46" t="inlineStr">
        <is>
          <t>PX_LAST</t>
        </is>
      </c>
      <c r="I46" t="inlineStr">
        <is>
          <t>percent</t>
        </is>
      </c>
      <c r="J46" s="8">
        <f>IFERROR(INDEX(BDH($G$46,$H$46,'01_Parametros'!$B$3,'01_Parametros'!$B$3,"Days=A","Fill=B","Dir=H"),1,2),BDH($G$46,$H$46,'01_Parametros'!$B$3,'01_Parametros'!$B$3,"Days=A","Fill=B"))</f>
        <v/>
      </c>
      <c r="K46" s="8">
        <f>IFERROR(INDEX(BDH($G$46,$H$46,'01_Parametros'!$B$5,'01_Parametros'!$B$5,"Days=A","Fill=B","Dir=H"),1,2),BDH($G$46,$H$46,'01_Parametros'!$B$5,'01_Parametros'!$B$5,"Days=A","Fill=B"))</f>
        <v/>
      </c>
      <c r="L46" s="8">
        <f>IFERROR(INDEX(BDH($G$46,$H$46,'01_Parametros'!$B$6,'01_Parametros'!$B$6,"Days=A","Fill=B","Dir=H"),1,2),BDH($G$46,$H$46,'01_Parametros'!$B$6,'01_Parametros'!$B$6,"Days=A","Fill=B"))</f>
        <v/>
      </c>
      <c r="M46" s="8">
        <f>IFERROR(INDEX(BDH($G$46,$H$46,'01_Parametros'!$B$7,'01_Parametros'!$B$7,"Days=A","Fill=B","Dir=H"),1,2),BDH($G$46,$H$46,'01_Parametros'!$B$7,'01_Parametros'!$B$7,"Days=A","Fill=B"))</f>
        <v/>
      </c>
      <c r="N46" t="inlineStr">
        <is>
          <t>UK Gilt 10Y</t>
        </is>
      </c>
    </row>
    <row r="47">
      <c r="A47" t="n">
        <v>46</v>
      </c>
      <c r="B47" t="inlineStr">
        <is>
          <t>yield_curve</t>
        </is>
      </c>
      <c r="C47" t="inlineStr">
        <is>
          <t>JP</t>
        </is>
      </c>
      <c r="D47" t="inlineStr">
        <is>
          <t>JGB</t>
        </is>
      </c>
      <c r="E47" t="inlineStr">
        <is>
          <t>10Y</t>
        </is>
      </c>
      <c r="F47" t="n">
        <v>10</v>
      </c>
      <c r="G47" t="inlineStr">
        <is>
          <t>GJGB10 Index</t>
        </is>
      </c>
      <c r="H47" t="inlineStr">
        <is>
          <t>PX_LAST</t>
        </is>
      </c>
      <c r="I47" t="inlineStr">
        <is>
          <t>percent</t>
        </is>
      </c>
      <c r="J47" s="8">
        <f>IFERROR(INDEX(BDH($G$47,$H$47,'01_Parametros'!$B$3,'01_Parametros'!$B$3,"Days=A","Fill=B","Dir=H"),1,2),BDH($G$47,$H$47,'01_Parametros'!$B$3,'01_Parametros'!$B$3,"Days=A","Fill=B"))</f>
        <v/>
      </c>
      <c r="K47" s="8">
        <f>IFERROR(INDEX(BDH($G$47,$H$47,'01_Parametros'!$B$5,'01_Parametros'!$B$5,"Days=A","Fill=B","Dir=H"),1,2),BDH($G$47,$H$47,'01_Parametros'!$B$5,'01_Parametros'!$B$5,"Days=A","Fill=B"))</f>
        <v/>
      </c>
      <c r="L47" s="8">
        <f>IFERROR(INDEX(BDH($G$47,$H$47,'01_Parametros'!$B$6,'01_Parametros'!$B$6,"Days=A","Fill=B","Dir=H"),1,2),BDH($G$47,$H$47,'01_Parametros'!$B$6,'01_Parametros'!$B$6,"Days=A","Fill=B"))</f>
        <v/>
      </c>
      <c r="M47" s="8">
        <f>IFERROR(INDEX(BDH($G$47,$H$47,'01_Parametros'!$B$7,'01_Parametros'!$B$7,"Days=A","Fill=B","Dir=H"),1,2),BDH($G$47,$H$47,'01_Parametros'!$B$7,'01_Parametros'!$B$7,"Days=A","Fill=B"))</f>
        <v/>
      </c>
      <c r="N47" t="inlineStr">
        <is>
          <t>Japan JGB 10Y</t>
        </is>
      </c>
    </row>
    <row r="48">
      <c r="A48" t="n">
        <v>47</v>
      </c>
      <c r="B48" t="inlineStr">
        <is>
          <t>yield_curve</t>
        </is>
      </c>
      <c r="C48" t="inlineStr">
        <is>
          <t>BR</t>
        </is>
      </c>
      <c r="D48" t="inlineStr">
        <is>
          <t>BR_GOV</t>
        </is>
      </c>
      <c r="E48" t="inlineStr">
        <is>
          <t>10Y</t>
        </is>
      </c>
      <c r="F48" t="n">
        <v>10</v>
      </c>
      <c r="G48" t="inlineStr">
        <is>
          <t>GEBR10Y Index</t>
        </is>
      </c>
      <c r="H48" t="inlineStr">
        <is>
          <t>PX_LAST</t>
        </is>
      </c>
      <c r="I48" t="inlineStr">
        <is>
          <t>percent</t>
        </is>
      </c>
      <c r="J48" s="8">
        <f>IFERROR(INDEX(BDH($G$48,$H$48,'01_Parametros'!$B$3,'01_Parametros'!$B$3,"Days=A","Fill=B","Dir=H"),1,2),BDH($G$48,$H$48,'01_Parametros'!$B$3,'01_Parametros'!$B$3,"Days=A","Fill=B"))</f>
        <v/>
      </c>
      <c r="K48" s="8">
        <f>IFERROR(INDEX(BDH($G$48,$H$48,'01_Parametros'!$B$5,'01_Parametros'!$B$5,"Days=A","Fill=B","Dir=H"),1,2),BDH($G$48,$H$48,'01_Parametros'!$B$5,'01_Parametros'!$B$5,"Days=A","Fill=B"))</f>
        <v/>
      </c>
      <c r="L48" s="8">
        <f>IFERROR(INDEX(BDH($G$48,$H$48,'01_Parametros'!$B$6,'01_Parametros'!$B$6,"Days=A","Fill=B","Dir=H"),1,2),BDH($G$48,$H$48,'01_Parametros'!$B$6,'01_Parametros'!$B$6,"Days=A","Fill=B"))</f>
        <v/>
      </c>
      <c r="M48" s="8">
        <f>IFERROR(INDEX(BDH($G$48,$H$48,'01_Parametros'!$B$7,'01_Parametros'!$B$7,"Days=A","Fill=B","Dir=H"),1,2),BDH($G$48,$H$48,'01_Parametros'!$B$7,'01_Parametros'!$B$7,"Days=A","Fill=B"))</f>
        <v/>
      </c>
      <c r="N48" t="inlineStr">
        <is>
          <t>Brazil 10Y — confirmar</t>
        </is>
      </c>
    </row>
    <row r="49">
      <c r="A49" t="n">
        <v>48</v>
      </c>
      <c r="B49" t="inlineStr">
        <is>
          <t>yield_curve</t>
        </is>
      </c>
      <c r="C49" t="inlineStr">
        <is>
          <t>MX</t>
        </is>
      </c>
      <c r="D49" t="inlineStr">
        <is>
          <t>MX_MBONO</t>
        </is>
      </c>
      <c r="E49" t="inlineStr">
        <is>
          <t>10Y</t>
        </is>
      </c>
      <c r="F49" t="n">
        <v>10</v>
      </c>
      <c r="G49" t="inlineStr">
        <is>
          <t>GMXN10YR Index</t>
        </is>
      </c>
      <c r="H49" t="inlineStr">
        <is>
          <t>PX_LAST</t>
        </is>
      </c>
      <c r="I49" t="inlineStr">
        <is>
          <t>percent</t>
        </is>
      </c>
      <c r="J49" s="8">
        <f>IFERROR(INDEX(BDH($G$49,$H$49,'01_Parametros'!$B$3,'01_Parametros'!$B$3,"Days=A","Fill=B","Dir=H"),1,2),BDH($G$49,$H$49,'01_Parametros'!$B$3,'01_Parametros'!$B$3,"Days=A","Fill=B"))</f>
        <v/>
      </c>
      <c r="K49" s="8">
        <f>IFERROR(INDEX(BDH($G$49,$H$49,'01_Parametros'!$B$5,'01_Parametros'!$B$5,"Days=A","Fill=B","Dir=H"),1,2),BDH($G$49,$H$49,'01_Parametros'!$B$5,'01_Parametros'!$B$5,"Days=A","Fill=B"))</f>
        <v/>
      </c>
      <c r="L49" s="8">
        <f>IFERROR(INDEX(BDH($G$49,$H$49,'01_Parametros'!$B$6,'01_Parametros'!$B$6,"Days=A","Fill=B","Dir=H"),1,2),BDH($G$49,$H$49,'01_Parametros'!$B$6,'01_Parametros'!$B$6,"Days=A","Fill=B"))</f>
        <v/>
      </c>
      <c r="M49" s="8">
        <f>IFERROR(INDEX(BDH($G$49,$H$49,'01_Parametros'!$B$7,'01_Parametros'!$B$7,"Days=A","Fill=B","Dir=H"),1,2),BDH($G$49,$H$49,'01_Parametros'!$B$7,'01_Parametros'!$B$7,"Days=A","Fill=B"))</f>
        <v/>
      </c>
      <c r="N49" t="inlineStr">
        <is>
          <t>Mexico MBONO 10Y — confirmar</t>
        </is>
      </c>
    </row>
    <row r="50">
      <c r="A50" t="n">
        <v>49</v>
      </c>
      <c r="B50" t="inlineStr">
        <is>
          <t>yield_curve</t>
        </is>
      </c>
      <c r="C50" t="inlineStr">
        <is>
          <t>CO</t>
        </is>
      </c>
      <c r="D50" t="inlineStr">
        <is>
          <t>CO_TES</t>
        </is>
      </c>
      <c r="E50" t="inlineStr">
        <is>
          <t>10Y</t>
        </is>
      </c>
      <c r="F50" t="n">
        <v>10</v>
      </c>
      <c r="G50" t="inlineStr">
        <is>
          <t>COGR10Y Index</t>
        </is>
      </c>
      <c r="H50" t="inlineStr">
        <is>
          <t>PX_LAST</t>
        </is>
      </c>
      <c r="I50" t="inlineStr">
        <is>
          <t>percent</t>
        </is>
      </c>
      <c r="J50" s="8">
        <f>IFERROR(INDEX(BDH($G$50,$H$50,'01_Parametros'!$B$3,'01_Parametros'!$B$3,"Days=A","Fill=B","Dir=H"),1,2),BDH($G$50,$H$50,'01_Parametros'!$B$3,'01_Parametros'!$B$3,"Days=A","Fill=B"))</f>
        <v/>
      </c>
      <c r="K50" s="8">
        <f>IFERROR(INDEX(BDH($G$50,$H$50,'01_Parametros'!$B$5,'01_Parametros'!$B$5,"Days=A","Fill=B","Dir=H"),1,2),BDH($G$50,$H$50,'01_Parametros'!$B$5,'01_Parametros'!$B$5,"Days=A","Fill=B"))</f>
        <v/>
      </c>
      <c r="L50" s="8">
        <f>IFERROR(INDEX(BDH($G$50,$H$50,'01_Parametros'!$B$6,'01_Parametros'!$B$6,"Days=A","Fill=B","Dir=H"),1,2),BDH($G$50,$H$50,'01_Parametros'!$B$6,'01_Parametros'!$B$6,"Days=A","Fill=B"))</f>
        <v/>
      </c>
      <c r="M50" s="8">
        <f>IFERROR(INDEX(BDH($G$50,$H$50,'01_Parametros'!$B$7,'01_Parametros'!$B$7,"Days=A","Fill=B","Dir=H"),1,2),BDH($G$50,$H$50,'01_Parametros'!$B$7,'01_Parametros'!$B$7,"Days=A","Fill=B"))</f>
        <v/>
      </c>
      <c r="N50" t="inlineStr">
        <is>
          <t>Colombia TES 10Y — confirmar</t>
        </is>
      </c>
    </row>
    <row r="51">
      <c r="A51" t="n">
        <v>50</v>
      </c>
      <c r="B51" t="inlineStr">
        <is>
          <t>fx</t>
        </is>
      </c>
      <c r="C51" t="inlineStr">
        <is>
          <t>—</t>
        </is>
      </c>
      <c r="D51" t="inlineStr">
        <is>
          <t>EURUSD</t>
        </is>
      </c>
      <c r="E51" t="inlineStr">
        <is>
          <t>SPOT</t>
        </is>
      </c>
      <c r="F51" t="n">
        <v>0</v>
      </c>
      <c r="G51" t="inlineStr">
        <is>
          <t>EURUSD Curncy</t>
        </is>
      </c>
      <c r="H51" t="inlineStr">
        <is>
          <t>PX_LAST</t>
        </is>
      </c>
      <c r="I51" t="inlineStr">
        <is>
          <t>rate</t>
        </is>
      </c>
      <c r="J51" s="8">
        <f>IFERROR(INDEX(BDH($G$51,$H$51,'01_Parametros'!$B$3,'01_Parametros'!$B$3,"Days=A","Fill=B","Dir=H"),1,2),BDH($G$51,$H$51,'01_Parametros'!$B$3,'01_Parametros'!$B$3,"Days=A","Fill=B"))</f>
        <v/>
      </c>
      <c r="K51" s="8">
        <f>IFERROR(INDEX(BDH($G$51,$H$51,'01_Parametros'!$B$5,'01_Parametros'!$B$5,"Days=A","Fill=B","Dir=H"),1,2),BDH($G$51,$H$51,'01_Parametros'!$B$5,'01_Parametros'!$B$5,"Days=A","Fill=B"))</f>
        <v/>
      </c>
      <c r="L51" s="8">
        <f>IFERROR(INDEX(BDH($G$51,$H$51,'01_Parametros'!$B$6,'01_Parametros'!$B$6,"Days=A","Fill=B","Dir=H"),1,2),BDH($G$51,$H$51,'01_Parametros'!$B$6,'01_Parametros'!$B$6,"Days=A","Fill=B"))</f>
        <v/>
      </c>
      <c r="M51" s="8">
        <f>IFERROR(INDEX(BDH($G$51,$H$51,'01_Parametros'!$B$7,'01_Parametros'!$B$7,"Days=A","Fill=B","Dir=H"),1,2),BDH($G$51,$H$51,'01_Parametros'!$B$7,'01_Parametros'!$B$7,"Days=A","Fill=B"))</f>
        <v/>
      </c>
      <c r="N51" t="inlineStr">
        <is>
          <t>EUR/USD spot</t>
        </is>
      </c>
    </row>
    <row r="52">
      <c r="A52" t="n">
        <v>51</v>
      </c>
      <c r="B52" t="inlineStr">
        <is>
          <t>fx</t>
        </is>
      </c>
      <c r="C52" t="inlineStr">
        <is>
          <t>—</t>
        </is>
      </c>
      <c r="D52" t="inlineStr">
        <is>
          <t>GBPUSD</t>
        </is>
      </c>
      <c r="E52" t="inlineStr">
        <is>
          <t>SPOT</t>
        </is>
      </c>
      <c r="F52" t="n">
        <v>0</v>
      </c>
      <c r="G52" t="inlineStr">
        <is>
          <t>GBPUSD Curncy</t>
        </is>
      </c>
      <c r="H52" t="inlineStr">
        <is>
          <t>PX_LAST</t>
        </is>
      </c>
      <c r="I52" t="inlineStr">
        <is>
          <t>rate</t>
        </is>
      </c>
      <c r="J52" s="8">
        <f>IFERROR(INDEX(BDH($G$52,$H$52,'01_Parametros'!$B$3,'01_Parametros'!$B$3,"Days=A","Fill=B","Dir=H"),1,2),BDH($G$52,$H$52,'01_Parametros'!$B$3,'01_Parametros'!$B$3,"Days=A","Fill=B"))</f>
        <v/>
      </c>
      <c r="K52" s="8">
        <f>IFERROR(INDEX(BDH($G$52,$H$52,'01_Parametros'!$B$5,'01_Parametros'!$B$5,"Days=A","Fill=B","Dir=H"),1,2),BDH($G$52,$H$52,'01_Parametros'!$B$5,'01_Parametros'!$B$5,"Days=A","Fill=B"))</f>
        <v/>
      </c>
      <c r="L52" s="8">
        <f>IFERROR(INDEX(BDH($G$52,$H$52,'01_Parametros'!$B$6,'01_Parametros'!$B$6,"Days=A","Fill=B","Dir=H"),1,2),BDH($G$52,$H$52,'01_Parametros'!$B$6,'01_Parametros'!$B$6,"Days=A","Fill=B"))</f>
        <v/>
      </c>
      <c r="M52" s="8">
        <f>IFERROR(INDEX(BDH($G$52,$H$52,'01_Parametros'!$B$7,'01_Parametros'!$B$7,"Days=A","Fill=B","Dir=H"),1,2),BDH($G$52,$H$52,'01_Parametros'!$B$7,'01_Parametros'!$B$7,"Days=A","Fill=B"))</f>
        <v/>
      </c>
      <c r="N52" t="inlineStr">
        <is>
          <t>GBP/USD spot</t>
        </is>
      </c>
    </row>
    <row r="53">
      <c r="A53" t="n">
        <v>52</v>
      </c>
      <c r="B53" t="inlineStr">
        <is>
          <t>fx</t>
        </is>
      </c>
      <c r="C53" t="inlineStr">
        <is>
          <t>—</t>
        </is>
      </c>
      <c r="D53" t="inlineStr">
        <is>
          <t>USDJPY</t>
        </is>
      </c>
      <c r="E53" t="inlineStr">
        <is>
          <t>SPOT</t>
        </is>
      </c>
      <c r="F53" t="n">
        <v>0</v>
      </c>
      <c r="G53" t="inlineStr">
        <is>
          <t>USDJPY Curncy</t>
        </is>
      </c>
      <c r="H53" t="inlineStr">
        <is>
          <t>PX_LAST</t>
        </is>
      </c>
      <c r="I53" t="inlineStr">
        <is>
          <t>rate</t>
        </is>
      </c>
      <c r="J53" s="8">
        <f>IFERROR(INDEX(BDH($G$53,$H$53,'01_Parametros'!$B$3,'01_Parametros'!$B$3,"Days=A","Fill=B","Dir=H"),1,2),BDH($G$53,$H$53,'01_Parametros'!$B$3,'01_Parametros'!$B$3,"Days=A","Fill=B"))</f>
        <v/>
      </c>
      <c r="K53" s="8">
        <f>IFERROR(INDEX(BDH($G$53,$H$53,'01_Parametros'!$B$5,'01_Parametros'!$B$5,"Days=A","Fill=B","Dir=H"),1,2),BDH($G$53,$H$53,'01_Parametros'!$B$5,'01_Parametros'!$B$5,"Days=A","Fill=B"))</f>
        <v/>
      </c>
      <c r="L53" s="8">
        <f>IFERROR(INDEX(BDH($G$53,$H$53,'01_Parametros'!$B$6,'01_Parametros'!$B$6,"Days=A","Fill=B","Dir=H"),1,2),BDH($G$53,$H$53,'01_Parametros'!$B$6,'01_Parametros'!$B$6,"Days=A","Fill=B"))</f>
        <v/>
      </c>
      <c r="M53" s="8">
        <f>IFERROR(INDEX(BDH($G$53,$H$53,'01_Parametros'!$B$7,'01_Parametros'!$B$7,"Days=A","Fill=B","Dir=H"),1,2),BDH($G$53,$H$53,'01_Parametros'!$B$7,'01_Parametros'!$B$7,"Days=A","Fill=B"))</f>
        <v/>
      </c>
      <c r="N53" t="inlineStr">
        <is>
          <t>USD/JPY spot</t>
        </is>
      </c>
    </row>
    <row r="54">
      <c r="A54" t="n">
        <v>53</v>
      </c>
      <c r="B54" t="inlineStr">
        <is>
          <t>fx</t>
        </is>
      </c>
      <c r="C54" t="inlineStr">
        <is>
          <t>—</t>
        </is>
      </c>
      <c r="D54" t="inlineStr">
        <is>
          <t>USDCNY</t>
        </is>
      </c>
      <c r="E54" t="inlineStr">
        <is>
          <t>SPOT</t>
        </is>
      </c>
      <c r="F54" t="n">
        <v>0</v>
      </c>
      <c r="G54" t="inlineStr">
        <is>
          <t>USDCNY Curncy</t>
        </is>
      </c>
      <c r="H54" t="inlineStr">
        <is>
          <t>PX_LAST</t>
        </is>
      </c>
      <c r="I54" t="inlineStr">
        <is>
          <t>rate</t>
        </is>
      </c>
      <c r="J54" s="8">
        <f>IFERROR(INDEX(BDH($G$54,$H$54,'01_Parametros'!$B$3,'01_Parametros'!$B$3,"Days=A","Fill=B","Dir=H"),1,2),BDH($G$54,$H$54,'01_Parametros'!$B$3,'01_Parametros'!$B$3,"Days=A","Fill=B"))</f>
        <v/>
      </c>
      <c r="K54" s="8">
        <f>IFERROR(INDEX(BDH($G$54,$H$54,'01_Parametros'!$B$5,'01_Parametros'!$B$5,"Days=A","Fill=B","Dir=H"),1,2),BDH($G$54,$H$54,'01_Parametros'!$B$5,'01_Parametros'!$B$5,"Days=A","Fill=B"))</f>
        <v/>
      </c>
      <c r="L54" s="8">
        <f>IFERROR(INDEX(BDH($G$54,$H$54,'01_Parametros'!$B$6,'01_Parametros'!$B$6,"Days=A","Fill=B","Dir=H"),1,2),BDH($G$54,$H$54,'01_Parametros'!$B$6,'01_Parametros'!$B$6,"Days=A","Fill=B"))</f>
        <v/>
      </c>
      <c r="M54" s="8">
        <f>IFERROR(INDEX(BDH($G$54,$H$54,'01_Parametros'!$B$7,'01_Parametros'!$B$7,"Days=A","Fill=B","Dir=H"),1,2),BDH($G$54,$H$54,'01_Parametros'!$B$7,'01_Parametros'!$B$7,"Days=A","Fill=B"))</f>
        <v/>
      </c>
      <c r="N54" t="inlineStr">
        <is>
          <t>USD/CNY spot</t>
        </is>
      </c>
    </row>
    <row r="55">
      <c r="A55" t="n">
        <v>54</v>
      </c>
      <c r="B55" t="inlineStr">
        <is>
          <t>fx</t>
        </is>
      </c>
      <c r="C55" t="inlineStr">
        <is>
          <t>—</t>
        </is>
      </c>
      <c r="D55" t="inlineStr">
        <is>
          <t>USDBRL</t>
        </is>
      </c>
      <c r="E55" t="inlineStr">
        <is>
          <t>SPOT</t>
        </is>
      </c>
      <c r="F55" t="n">
        <v>0</v>
      </c>
      <c r="G55" t="inlineStr">
        <is>
          <t>USDBRL Curncy</t>
        </is>
      </c>
      <c r="H55" t="inlineStr">
        <is>
          <t>PX_LAST</t>
        </is>
      </c>
      <c r="I55" t="inlineStr">
        <is>
          <t>rate</t>
        </is>
      </c>
      <c r="J55" s="8">
        <f>IFERROR(INDEX(BDH($G$55,$H$55,'01_Parametros'!$B$3,'01_Parametros'!$B$3,"Days=A","Fill=B","Dir=H"),1,2),BDH($G$55,$H$55,'01_Parametros'!$B$3,'01_Parametros'!$B$3,"Days=A","Fill=B"))</f>
        <v/>
      </c>
      <c r="K55" s="8">
        <f>IFERROR(INDEX(BDH($G$55,$H$55,'01_Parametros'!$B$5,'01_Parametros'!$B$5,"Days=A","Fill=B","Dir=H"),1,2),BDH($G$55,$H$55,'01_Parametros'!$B$5,'01_Parametros'!$B$5,"Days=A","Fill=B"))</f>
        <v/>
      </c>
      <c r="L55" s="8">
        <f>IFERROR(INDEX(BDH($G$55,$H$55,'01_Parametros'!$B$6,'01_Parametros'!$B$6,"Days=A","Fill=B","Dir=H"),1,2),BDH($G$55,$H$55,'01_Parametros'!$B$6,'01_Parametros'!$B$6,"Days=A","Fill=B"))</f>
        <v/>
      </c>
      <c r="M55" s="8">
        <f>IFERROR(INDEX(BDH($G$55,$H$55,'01_Parametros'!$B$7,'01_Parametros'!$B$7,"Days=A","Fill=B","Dir=H"),1,2),BDH($G$55,$H$55,'01_Parametros'!$B$7,'01_Parametros'!$B$7,"Days=A","Fill=B"))</f>
        <v/>
      </c>
      <c r="N55" t="inlineStr">
        <is>
          <t>USD/BRL spot</t>
        </is>
      </c>
    </row>
    <row r="56">
      <c r="A56" t="n">
        <v>55</v>
      </c>
      <c r="B56" t="inlineStr">
        <is>
          <t>fx</t>
        </is>
      </c>
      <c r="C56" t="inlineStr">
        <is>
          <t>—</t>
        </is>
      </c>
      <c r="D56" t="inlineStr">
        <is>
          <t>USDMXN</t>
        </is>
      </c>
      <c r="E56" t="inlineStr">
        <is>
          <t>SPOT</t>
        </is>
      </c>
      <c r="F56" t="n">
        <v>0</v>
      </c>
      <c r="G56" t="inlineStr">
        <is>
          <t>USDMXN Curncy</t>
        </is>
      </c>
      <c r="H56" t="inlineStr">
        <is>
          <t>PX_LAST</t>
        </is>
      </c>
      <c r="I56" t="inlineStr">
        <is>
          <t>rate</t>
        </is>
      </c>
      <c r="J56" s="8">
        <f>IFERROR(INDEX(BDH($G$56,$H$56,'01_Parametros'!$B$3,'01_Parametros'!$B$3,"Days=A","Fill=B","Dir=H"),1,2),BDH($G$56,$H$56,'01_Parametros'!$B$3,'01_Parametros'!$B$3,"Days=A","Fill=B"))</f>
        <v/>
      </c>
      <c r="K56" s="8">
        <f>IFERROR(INDEX(BDH($G$56,$H$56,'01_Parametros'!$B$5,'01_Parametros'!$B$5,"Days=A","Fill=B","Dir=H"),1,2),BDH($G$56,$H$56,'01_Parametros'!$B$5,'01_Parametros'!$B$5,"Days=A","Fill=B"))</f>
        <v/>
      </c>
      <c r="L56" s="8">
        <f>IFERROR(INDEX(BDH($G$56,$H$56,'01_Parametros'!$B$6,'01_Parametros'!$B$6,"Days=A","Fill=B","Dir=H"),1,2),BDH($G$56,$H$56,'01_Parametros'!$B$6,'01_Parametros'!$B$6,"Days=A","Fill=B"))</f>
        <v/>
      </c>
      <c r="M56" s="8">
        <f>IFERROR(INDEX(BDH($G$56,$H$56,'01_Parametros'!$B$7,'01_Parametros'!$B$7,"Days=A","Fill=B","Dir=H"),1,2),BDH($G$56,$H$56,'01_Parametros'!$B$7,'01_Parametros'!$B$7,"Days=A","Fill=B"))</f>
        <v/>
      </c>
      <c r="N56" t="inlineStr">
        <is>
          <t>USD/MXN spot</t>
        </is>
      </c>
    </row>
    <row r="57">
      <c r="A57" t="n">
        <v>56</v>
      </c>
      <c r="B57" t="inlineStr">
        <is>
          <t>fx</t>
        </is>
      </c>
      <c r="C57" t="inlineStr">
        <is>
          <t>—</t>
        </is>
      </c>
      <c r="D57" t="inlineStr">
        <is>
          <t>USDCOP</t>
        </is>
      </c>
      <c r="E57" t="inlineStr">
        <is>
          <t>SPOT</t>
        </is>
      </c>
      <c r="F57" t="n">
        <v>0</v>
      </c>
      <c r="G57" t="inlineStr">
        <is>
          <t>USDCOP Curncy</t>
        </is>
      </c>
      <c r="H57" t="inlineStr">
        <is>
          <t>PX_LAST</t>
        </is>
      </c>
      <c r="I57" t="inlineStr">
        <is>
          <t>rate</t>
        </is>
      </c>
      <c r="J57" s="8">
        <f>IFERROR(INDEX(BDH($G$57,$H$57,'01_Parametros'!$B$3,'01_Parametros'!$B$3,"Days=A","Fill=B","Dir=H"),1,2),BDH($G$57,$H$57,'01_Parametros'!$B$3,'01_Parametros'!$B$3,"Days=A","Fill=B"))</f>
        <v/>
      </c>
      <c r="K57" s="8">
        <f>IFERROR(INDEX(BDH($G$57,$H$57,'01_Parametros'!$B$5,'01_Parametros'!$B$5,"Days=A","Fill=B","Dir=H"),1,2),BDH($G$57,$H$57,'01_Parametros'!$B$5,'01_Parametros'!$B$5,"Days=A","Fill=B"))</f>
        <v/>
      </c>
      <c r="L57" s="8">
        <f>IFERROR(INDEX(BDH($G$57,$H$57,'01_Parametros'!$B$6,'01_Parametros'!$B$6,"Days=A","Fill=B","Dir=H"),1,2),BDH($G$57,$H$57,'01_Parametros'!$B$6,'01_Parametros'!$B$6,"Days=A","Fill=B"))</f>
        <v/>
      </c>
      <c r="M57" s="8">
        <f>IFERROR(INDEX(BDH($G$57,$H$57,'01_Parametros'!$B$7,'01_Parametros'!$B$7,"Days=A","Fill=B","Dir=H"),1,2),BDH($G$57,$H$57,'01_Parametros'!$B$7,'01_Parametros'!$B$7,"Days=A","Fill=B"))</f>
        <v/>
      </c>
      <c r="N57" t="inlineStr">
        <is>
          <t>USD/COP spot</t>
        </is>
      </c>
    </row>
    <row r="58">
      <c r="A58" t="n">
        <v>57</v>
      </c>
      <c r="B58" t="inlineStr">
        <is>
          <t>fx</t>
        </is>
      </c>
      <c r="C58" t="inlineStr">
        <is>
          <t>—</t>
        </is>
      </c>
      <c r="D58" t="inlineStr">
        <is>
          <t>USDCLP</t>
        </is>
      </c>
      <c r="E58" t="inlineStr">
        <is>
          <t>SPOT</t>
        </is>
      </c>
      <c r="F58" t="n">
        <v>0</v>
      </c>
      <c r="G58" t="inlineStr">
        <is>
          <t>USDCLP Curncy</t>
        </is>
      </c>
      <c r="H58" t="inlineStr">
        <is>
          <t>PX_LAST</t>
        </is>
      </c>
      <c r="I58" t="inlineStr">
        <is>
          <t>rate</t>
        </is>
      </c>
      <c r="J58" s="8">
        <f>IFERROR(INDEX(BDH($G$58,$H$58,'01_Parametros'!$B$3,'01_Parametros'!$B$3,"Days=A","Fill=B","Dir=H"),1,2),BDH($G$58,$H$58,'01_Parametros'!$B$3,'01_Parametros'!$B$3,"Days=A","Fill=B"))</f>
        <v/>
      </c>
      <c r="K58" s="8">
        <f>IFERROR(INDEX(BDH($G$58,$H$58,'01_Parametros'!$B$5,'01_Parametros'!$B$5,"Days=A","Fill=B","Dir=H"),1,2),BDH($G$58,$H$58,'01_Parametros'!$B$5,'01_Parametros'!$B$5,"Days=A","Fill=B"))</f>
        <v/>
      </c>
      <c r="L58" s="8">
        <f>IFERROR(INDEX(BDH($G$58,$H$58,'01_Parametros'!$B$6,'01_Parametros'!$B$6,"Days=A","Fill=B","Dir=H"),1,2),BDH($G$58,$H$58,'01_Parametros'!$B$6,'01_Parametros'!$B$6,"Days=A","Fill=B"))</f>
        <v/>
      </c>
      <c r="M58" s="8">
        <f>IFERROR(INDEX(BDH($G$58,$H$58,'01_Parametros'!$B$7,'01_Parametros'!$B$7,"Days=A","Fill=B","Dir=H"),1,2),BDH($G$58,$H$58,'01_Parametros'!$B$7,'01_Parametros'!$B$7,"Days=A","Fill=B"))</f>
        <v/>
      </c>
      <c r="N58" t="inlineStr">
        <is>
          <t>USD/CLP spot</t>
        </is>
      </c>
    </row>
    <row r="59">
      <c r="A59" t="n">
        <v>58</v>
      </c>
      <c r="B59" t="inlineStr">
        <is>
          <t>fx</t>
        </is>
      </c>
      <c r="C59" t="inlineStr">
        <is>
          <t>—</t>
        </is>
      </c>
      <c r="D59" t="inlineStr">
        <is>
          <t>DXY</t>
        </is>
      </c>
      <c r="E59" t="inlineStr">
        <is>
          <t>SPOT</t>
        </is>
      </c>
      <c r="F59" t="n">
        <v>0</v>
      </c>
      <c r="G59" t="inlineStr">
        <is>
          <t>DXY Curncy</t>
        </is>
      </c>
      <c r="H59" t="inlineStr">
        <is>
          <t>PX_LAST</t>
        </is>
      </c>
      <c r="I59" t="inlineStr">
        <is>
          <t>index</t>
        </is>
      </c>
      <c r="J59" s="8">
        <f>IFERROR(INDEX(BDH($G$59,$H$59,'01_Parametros'!$B$3,'01_Parametros'!$B$3,"Days=A","Fill=B","Dir=H"),1,2),BDH($G$59,$H$59,'01_Parametros'!$B$3,'01_Parametros'!$B$3,"Days=A","Fill=B"))</f>
        <v/>
      </c>
      <c r="K59" s="8">
        <f>IFERROR(INDEX(BDH($G$59,$H$59,'01_Parametros'!$B$5,'01_Parametros'!$B$5,"Days=A","Fill=B","Dir=H"),1,2),BDH($G$59,$H$59,'01_Parametros'!$B$5,'01_Parametros'!$B$5,"Days=A","Fill=B"))</f>
        <v/>
      </c>
      <c r="L59" s="8">
        <f>IFERROR(INDEX(BDH($G$59,$H$59,'01_Parametros'!$B$6,'01_Parametros'!$B$6,"Days=A","Fill=B","Dir=H"),1,2),BDH($G$59,$H$59,'01_Parametros'!$B$6,'01_Parametros'!$B$6,"Days=A","Fill=B"))</f>
        <v/>
      </c>
      <c r="M59" s="8">
        <f>IFERROR(INDEX(BDH($G$59,$H$59,'01_Parametros'!$B$7,'01_Parametros'!$B$7,"Days=A","Fill=B","Dir=H"),1,2),BDH($G$59,$H$59,'01_Parametros'!$B$7,'01_Parametros'!$B$7,"Days=A","Fill=B"))</f>
        <v/>
      </c>
      <c r="N59" t="inlineStr">
        <is>
          <t>Dollar Index</t>
        </is>
      </c>
    </row>
    <row r="60">
      <c r="A60" t="n">
        <v>59</v>
      </c>
      <c r="B60" t="inlineStr">
        <is>
          <t>credit_index</t>
        </is>
      </c>
      <c r="C60" t="inlineStr">
        <is>
          <t>EM</t>
        </is>
      </c>
      <c r="D60" t="inlineStr">
        <is>
          <t>EMBI_GLOBAL_SPRD</t>
        </is>
      </c>
      <c r="E60" t="inlineStr">
        <is>
          <t>ALL</t>
        </is>
      </c>
      <c r="F60" t="n">
        <v>0</v>
      </c>
      <c r="G60" t="inlineStr">
        <is>
          <t>JPEIDIVR Index</t>
        </is>
      </c>
      <c r="H60" t="inlineStr">
        <is>
          <t>PX_LAST</t>
        </is>
      </c>
      <c r="I60" t="inlineStr">
        <is>
          <t>bps</t>
        </is>
      </c>
      <c r="J60" s="8">
        <f>IFERROR(INDEX(BDH($G$60,$H$60,'01_Parametros'!$B$3,'01_Parametros'!$B$3,"Days=A","Fill=B","Dir=H"),1,2),BDH($G$60,$H$60,'01_Parametros'!$B$3,'01_Parametros'!$B$3,"Days=A","Fill=B"))</f>
        <v/>
      </c>
      <c r="K60" s="8">
        <f>IFERROR(INDEX(BDH($G$60,$H$60,'01_Parametros'!$B$5,'01_Parametros'!$B$5,"Days=A","Fill=B","Dir=H"),1,2),BDH($G$60,$H$60,'01_Parametros'!$B$5,'01_Parametros'!$B$5,"Days=A","Fill=B"))</f>
        <v/>
      </c>
      <c r="L60" s="8">
        <f>IFERROR(INDEX(BDH($G$60,$H$60,'01_Parametros'!$B$6,'01_Parametros'!$B$6,"Days=A","Fill=B","Dir=H"),1,2),BDH($G$60,$H$60,'01_Parametros'!$B$6,'01_Parametros'!$B$6,"Days=A","Fill=B"))</f>
        <v/>
      </c>
      <c r="M60" s="8">
        <f>IFERROR(INDEX(BDH($G$60,$H$60,'01_Parametros'!$B$7,'01_Parametros'!$B$7,"Days=A","Fill=B","Dir=H"),1,2),BDH($G$60,$H$60,'01_Parametros'!$B$7,'01_Parametros'!$B$7,"Days=A","Fill=B"))</f>
        <v/>
      </c>
      <c r="N60" t="inlineStr">
        <is>
          <t>EMBI Global Diversified — confirmar</t>
        </is>
      </c>
    </row>
    <row r="61">
      <c r="A61" t="n">
        <v>60</v>
      </c>
      <c r="B61" t="inlineStr">
        <is>
          <t>credit_index</t>
        </is>
      </c>
      <c r="C61" t="inlineStr">
        <is>
          <t>LATAM</t>
        </is>
      </c>
      <c r="D61" t="inlineStr">
        <is>
          <t>EMBI_LATAM_SPRD</t>
        </is>
      </c>
      <c r="E61" t="inlineStr">
        <is>
          <t>ALL</t>
        </is>
      </c>
      <c r="F61" t="n">
        <v>0</v>
      </c>
      <c r="G61" t="inlineStr">
        <is>
          <t>JPEMLAT Index</t>
        </is>
      </c>
      <c r="H61" t="inlineStr">
        <is>
          <t>PX_LAST</t>
        </is>
      </c>
      <c r="I61" t="inlineStr">
        <is>
          <t>bps</t>
        </is>
      </c>
      <c r="J61" s="8">
        <f>IFERROR(INDEX(BDH($G$61,$H$61,'01_Parametros'!$B$3,'01_Parametros'!$B$3,"Days=A","Fill=B","Dir=H"),1,2),BDH($G$61,$H$61,'01_Parametros'!$B$3,'01_Parametros'!$B$3,"Days=A","Fill=B"))</f>
        <v/>
      </c>
      <c r="K61" s="8">
        <f>IFERROR(INDEX(BDH($G$61,$H$61,'01_Parametros'!$B$5,'01_Parametros'!$B$5,"Days=A","Fill=B","Dir=H"),1,2),BDH($G$61,$H$61,'01_Parametros'!$B$5,'01_Parametros'!$B$5,"Days=A","Fill=B"))</f>
        <v/>
      </c>
      <c r="L61" s="8">
        <f>IFERROR(INDEX(BDH($G$61,$H$61,'01_Parametros'!$B$6,'01_Parametros'!$B$6,"Days=A","Fill=B","Dir=H"),1,2),BDH($G$61,$H$61,'01_Parametros'!$B$6,'01_Parametros'!$B$6,"Days=A","Fill=B"))</f>
        <v/>
      </c>
      <c r="M61" s="8">
        <f>IFERROR(INDEX(BDH($G$61,$H$61,'01_Parametros'!$B$7,'01_Parametros'!$B$7,"Days=A","Fill=B","Dir=H"),1,2),BDH($G$61,$H$61,'01_Parametros'!$B$7,'01_Parametros'!$B$7,"Days=A","Fill=B"))</f>
        <v/>
      </c>
      <c r="N61" t="inlineStr">
        <is>
          <t>EMBI Latam — confirmar</t>
        </is>
      </c>
    </row>
    <row r="62">
      <c r="A62" t="n">
        <v>61</v>
      </c>
      <c r="B62" t="inlineStr">
        <is>
          <t>credit_index</t>
        </is>
      </c>
      <c r="C62" t="inlineStr">
        <is>
          <t>PA</t>
        </is>
      </c>
      <c r="D62" t="inlineStr">
        <is>
          <t>EMBI_PANAMA_SPRD</t>
        </is>
      </c>
      <c r="E62" t="inlineStr">
        <is>
          <t>ALL</t>
        </is>
      </c>
      <c r="F62" t="n">
        <v>0</v>
      </c>
      <c r="G62" t="inlineStr">
        <is>
          <t>JPGCPANS Index</t>
        </is>
      </c>
      <c r="H62" t="inlineStr">
        <is>
          <t>PX_LAST</t>
        </is>
      </c>
      <c r="I62" t="inlineStr">
        <is>
          <t>bps</t>
        </is>
      </c>
      <c r="J62" s="8">
        <f>IFERROR(INDEX(BDH($G$62,$H$62,'01_Parametros'!$B$3,'01_Parametros'!$B$3,"Days=A","Fill=B","Dir=H"),1,2),BDH($G$62,$H$62,'01_Parametros'!$B$3,'01_Parametros'!$B$3,"Days=A","Fill=B"))</f>
        <v/>
      </c>
      <c r="K62" s="8">
        <f>IFERROR(INDEX(BDH($G$62,$H$62,'01_Parametros'!$B$5,'01_Parametros'!$B$5,"Days=A","Fill=B","Dir=H"),1,2),BDH($G$62,$H$62,'01_Parametros'!$B$5,'01_Parametros'!$B$5,"Days=A","Fill=B"))</f>
        <v/>
      </c>
      <c r="L62" s="8">
        <f>IFERROR(INDEX(BDH($G$62,$H$62,'01_Parametros'!$B$6,'01_Parametros'!$B$6,"Days=A","Fill=B","Dir=H"),1,2),BDH($G$62,$H$62,'01_Parametros'!$B$6,'01_Parametros'!$B$6,"Days=A","Fill=B"))</f>
        <v/>
      </c>
      <c r="M62" s="8">
        <f>IFERROR(INDEX(BDH($G$62,$H$62,'01_Parametros'!$B$7,'01_Parametros'!$B$7,"Days=A","Fill=B","Dir=H"),1,2),BDH($G$62,$H$62,'01_Parametros'!$B$7,'01_Parametros'!$B$7,"Days=A","Fill=B"))</f>
        <v/>
      </c>
      <c r="N62" t="inlineStr">
        <is>
          <t>EMBI Panama spread — confirmar</t>
        </is>
      </c>
    </row>
    <row r="63">
      <c r="A63" t="n">
        <v>62</v>
      </c>
      <c r="B63" t="inlineStr">
        <is>
          <t>credit_index</t>
        </is>
      </c>
      <c r="C63" t="inlineStr">
        <is>
          <t>VE</t>
        </is>
      </c>
      <c r="D63" t="inlineStr">
        <is>
          <t>EMBI_VEN_SPRD</t>
        </is>
      </c>
      <c r="E63" t="inlineStr">
        <is>
          <t>ALL</t>
        </is>
      </c>
      <c r="F63" t="n">
        <v>0</v>
      </c>
      <c r="G63" t="inlineStr">
        <is>
          <t>JPGCVENS Index</t>
        </is>
      </c>
      <c r="H63" t="inlineStr">
        <is>
          <t>PX_LAST</t>
        </is>
      </c>
      <c r="I63" t="inlineStr">
        <is>
          <t>bps</t>
        </is>
      </c>
      <c r="J63" s="8">
        <f>IFERROR(INDEX(BDH($G$63,$H$63,'01_Parametros'!$B$3,'01_Parametros'!$B$3,"Days=A","Fill=B","Dir=H"),1,2),BDH($G$63,$H$63,'01_Parametros'!$B$3,'01_Parametros'!$B$3,"Days=A","Fill=B"))</f>
        <v/>
      </c>
      <c r="K63" s="8">
        <f>IFERROR(INDEX(BDH($G$63,$H$63,'01_Parametros'!$B$5,'01_Parametros'!$B$5,"Days=A","Fill=B","Dir=H"),1,2),BDH($G$63,$H$63,'01_Parametros'!$B$5,'01_Parametros'!$B$5,"Days=A","Fill=B"))</f>
        <v/>
      </c>
      <c r="L63" s="8">
        <f>IFERROR(INDEX(BDH($G$63,$H$63,'01_Parametros'!$B$6,'01_Parametros'!$B$6,"Days=A","Fill=B","Dir=H"),1,2),BDH($G$63,$H$63,'01_Parametros'!$B$6,'01_Parametros'!$B$6,"Days=A","Fill=B"))</f>
        <v/>
      </c>
      <c r="M63" s="8">
        <f>IFERROR(INDEX(BDH($G$63,$H$63,'01_Parametros'!$B$7,'01_Parametros'!$B$7,"Days=A","Fill=B","Dir=H"),1,2),BDH($G$63,$H$63,'01_Parametros'!$B$7,'01_Parametros'!$B$7,"Days=A","Fill=B"))</f>
        <v/>
      </c>
      <c r="N63" t="inlineStr">
        <is>
          <t>EMBI Venezuela spread — confirmar</t>
        </is>
      </c>
    </row>
    <row r="64">
      <c r="A64" t="n">
        <v>63</v>
      </c>
      <c r="B64" t="inlineStr">
        <is>
          <t>credit_index</t>
        </is>
      </c>
      <c r="C64" t="inlineStr">
        <is>
          <t>US</t>
        </is>
      </c>
      <c r="D64" t="inlineStr">
        <is>
          <t>ICE_C0A0_YIELD</t>
        </is>
      </c>
      <c r="E64" t="inlineStr">
        <is>
          <t>ALL</t>
        </is>
      </c>
      <c r="F64" t="n">
        <v>0</v>
      </c>
      <c r="G64" t="inlineStr">
        <is>
          <t>C0A0 Index</t>
        </is>
      </c>
      <c r="H64" t="inlineStr">
        <is>
          <t>INDEX_YIELD_TO_WORST</t>
        </is>
      </c>
      <c r="I64" t="inlineStr">
        <is>
          <t>percent</t>
        </is>
      </c>
      <c r="J64" s="8">
        <f>IFERROR(INDEX(BDH($G$64,$H$64,'01_Parametros'!$B$3,'01_Parametros'!$B$3,"Days=A","Fill=B","Dir=H"),1,2),BDH($G$64,$H$64,'01_Parametros'!$B$3,'01_Parametros'!$B$3,"Days=A","Fill=B"))</f>
        <v/>
      </c>
      <c r="K64" s="8">
        <f>IFERROR(INDEX(BDH($G$64,$H$64,'01_Parametros'!$B$5,'01_Parametros'!$B$5,"Days=A","Fill=B","Dir=H"),1,2),BDH($G$64,$H$64,'01_Parametros'!$B$5,'01_Parametros'!$B$5,"Days=A","Fill=B"))</f>
        <v/>
      </c>
      <c r="L64" s="8">
        <f>IFERROR(INDEX(BDH($G$64,$H$64,'01_Parametros'!$B$6,'01_Parametros'!$B$6,"Days=A","Fill=B","Dir=H"),1,2),BDH($G$64,$H$64,'01_Parametros'!$B$6,'01_Parametros'!$B$6,"Days=A","Fill=B"))</f>
        <v/>
      </c>
      <c r="M64" s="8">
        <f>IFERROR(INDEX(BDH($G$64,$H$64,'01_Parametros'!$B$7,'01_Parametros'!$B$7,"Days=A","Fill=B","Dir=H"),1,2),BDH($G$64,$H$64,'01_Parametros'!$B$7,'01_Parametros'!$B$7,"Days=A","Fill=B"))</f>
        <v/>
      </c>
      <c r="N64" t="inlineStr">
        <is>
          <t>ICE BofA US Corporate Master YTW</t>
        </is>
      </c>
    </row>
    <row r="65">
      <c r="A65" t="n">
        <v>64</v>
      </c>
      <c r="B65" t="inlineStr">
        <is>
          <t>credit_index</t>
        </is>
      </c>
      <c r="C65" t="inlineStr">
        <is>
          <t>US</t>
        </is>
      </c>
      <c r="D65" t="inlineStr">
        <is>
          <t>ICE_C0A0_OAS</t>
        </is>
      </c>
      <c r="E65" t="inlineStr">
        <is>
          <t>ALL</t>
        </is>
      </c>
      <c r="F65" t="n">
        <v>0</v>
      </c>
      <c r="G65" t="inlineStr">
        <is>
          <t>C0A0 Index</t>
        </is>
      </c>
      <c r="H65" t="inlineStr">
        <is>
          <t>OAS_SPREAD_BID</t>
        </is>
      </c>
      <c r="I65" t="inlineStr">
        <is>
          <t>bps</t>
        </is>
      </c>
      <c r="J65" s="8">
        <f>IFERROR(INDEX(BDH($G$65,$H$65,'01_Parametros'!$B$3,'01_Parametros'!$B$3,"Days=A","Fill=B","Dir=H"),1,2),BDH($G$65,$H$65,'01_Parametros'!$B$3,'01_Parametros'!$B$3,"Days=A","Fill=B"))</f>
        <v/>
      </c>
      <c r="K65" s="8">
        <f>IFERROR(INDEX(BDH($G$65,$H$65,'01_Parametros'!$B$5,'01_Parametros'!$B$5,"Days=A","Fill=B","Dir=H"),1,2),BDH($G$65,$H$65,'01_Parametros'!$B$5,'01_Parametros'!$B$5,"Days=A","Fill=B"))</f>
        <v/>
      </c>
      <c r="L65" s="8">
        <f>IFERROR(INDEX(BDH($G$65,$H$65,'01_Parametros'!$B$6,'01_Parametros'!$B$6,"Days=A","Fill=B","Dir=H"),1,2),BDH($G$65,$H$65,'01_Parametros'!$B$6,'01_Parametros'!$B$6,"Days=A","Fill=B"))</f>
        <v/>
      </c>
      <c r="M65" s="8">
        <f>IFERROR(INDEX(BDH($G$65,$H$65,'01_Parametros'!$B$7,'01_Parametros'!$B$7,"Days=A","Fill=B","Dir=H"),1,2),BDH($G$65,$H$65,'01_Parametros'!$B$7,'01_Parametros'!$B$7,"Days=A","Fill=B"))</f>
        <v/>
      </c>
      <c r="N65" t="inlineStr">
        <is>
          <t>ICE BofA US Corp Master OAS</t>
        </is>
      </c>
    </row>
    <row r="66">
      <c r="A66" t="n">
        <v>65</v>
      </c>
      <c r="B66" t="inlineStr">
        <is>
          <t>credit_index</t>
        </is>
      </c>
      <c r="C66" t="inlineStr">
        <is>
          <t>US</t>
        </is>
      </c>
      <c r="D66" t="inlineStr">
        <is>
          <t>ICE_C0A1_AAA_OAS</t>
        </is>
      </c>
      <c r="E66" t="inlineStr">
        <is>
          <t>ALL</t>
        </is>
      </c>
      <c r="F66" t="n">
        <v>0</v>
      </c>
      <c r="G66" t="inlineStr">
        <is>
          <t>C0A1 Index</t>
        </is>
      </c>
      <c r="H66" t="inlineStr">
        <is>
          <t>OAS_SPREAD_BID</t>
        </is>
      </c>
      <c r="I66" t="inlineStr">
        <is>
          <t>bps</t>
        </is>
      </c>
      <c r="J66" s="8">
        <f>IFERROR(INDEX(BDH($G$66,$H$66,'01_Parametros'!$B$3,'01_Parametros'!$B$3,"Days=A","Fill=B","Dir=H"),1,2),BDH($G$66,$H$66,'01_Parametros'!$B$3,'01_Parametros'!$B$3,"Days=A","Fill=B"))</f>
        <v/>
      </c>
      <c r="K66" s="8">
        <f>IFERROR(INDEX(BDH($G$66,$H$66,'01_Parametros'!$B$5,'01_Parametros'!$B$5,"Days=A","Fill=B","Dir=H"),1,2),BDH($G$66,$H$66,'01_Parametros'!$B$5,'01_Parametros'!$B$5,"Days=A","Fill=B"))</f>
        <v/>
      </c>
      <c r="L66" s="8">
        <f>IFERROR(INDEX(BDH($G$66,$H$66,'01_Parametros'!$B$6,'01_Parametros'!$B$6,"Days=A","Fill=B","Dir=H"),1,2),BDH($G$66,$H$66,'01_Parametros'!$B$6,'01_Parametros'!$B$6,"Days=A","Fill=B"))</f>
        <v/>
      </c>
      <c r="M66" s="8">
        <f>IFERROR(INDEX(BDH($G$66,$H$66,'01_Parametros'!$B$7,'01_Parametros'!$B$7,"Days=A","Fill=B","Dir=H"),1,2),BDH($G$66,$H$66,'01_Parametros'!$B$7,'01_Parametros'!$B$7,"Days=A","Fill=B"))</f>
        <v/>
      </c>
      <c r="N66" t="inlineStr">
        <is>
          <t>ICE BofA US Corp AAA OAS</t>
        </is>
      </c>
    </row>
    <row r="67">
      <c r="A67" t="n">
        <v>66</v>
      </c>
      <c r="B67" t="inlineStr">
        <is>
          <t>credit_index</t>
        </is>
      </c>
      <c r="C67" t="inlineStr">
        <is>
          <t>US</t>
        </is>
      </c>
      <c r="D67" t="inlineStr">
        <is>
          <t>ICE_C0A2_AA_OAS</t>
        </is>
      </c>
      <c r="E67" t="inlineStr">
        <is>
          <t>ALL</t>
        </is>
      </c>
      <c r="F67" t="n">
        <v>0</v>
      </c>
      <c r="G67" t="inlineStr">
        <is>
          <t>C0A2 Index</t>
        </is>
      </c>
      <c r="H67" t="inlineStr">
        <is>
          <t>OAS_SPREAD_BID</t>
        </is>
      </c>
      <c r="I67" t="inlineStr">
        <is>
          <t>bps</t>
        </is>
      </c>
      <c r="J67" s="8">
        <f>IFERROR(INDEX(BDH($G$67,$H$67,'01_Parametros'!$B$3,'01_Parametros'!$B$3,"Days=A","Fill=B","Dir=H"),1,2),BDH($G$67,$H$67,'01_Parametros'!$B$3,'01_Parametros'!$B$3,"Days=A","Fill=B"))</f>
        <v/>
      </c>
      <c r="K67" s="8">
        <f>IFERROR(INDEX(BDH($G$67,$H$67,'01_Parametros'!$B$5,'01_Parametros'!$B$5,"Days=A","Fill=B","Dir=H"),1,2),BDH($G$67,$H$67,'01_Parametros'!$B$5,'01_Parametros'!$B$5,"Days=A","Fill=B"))</f>
        <v/>
      </c>
      <c r="L67" s="8">
        <f>IFERROR(INDEX(BDH($G$67,$H$67,'01_Parametros'!$B$6,'01_Parametros'!$B$6,"Days=A","Fill=B","Dir=H"),1,2),BDH($G$67,$H$67,'01_Parametros'!$B$6,'01_Parametros'!$B$6,"Days=A","Fill=B"))</f>
        <v/>
      </c>
      <c r="M67" s="8">
        <f>IFERROR(INDEX(BDH($G$67,$H$67,'01_Parametros'!$B$7,'01_Parametros'!$B$7,"Days=A","Fill=B","Dir=H"),1,2),BDH($G$67,$H$67,'01_Parametros'!$B$7,'01_Parametros'!$B$7,"Days=A","Fill=B"))</f>
        <v/>
      </c>
      <c r="N67" t="inlineStr">
        <is>
          <t>ICE BofA US Corp AA OAS</t>
        </is>
      </c>
    </row>
    <row r="68">
      <c r="A68" t="n">
        <v>67</v>
      </c>
      <c r="B68" t="inlineStr">
        <is>
          <t>credit_index</t>
        </is>
      </c>
      <c r="C68" t="inlineStr">
        <is>
          <t>US</t>
        </is>
      </c>
      <c r="D68" t="inlineStr">
        <is>
          <t>ICE_C0A3_A_OAS</t>
        </is>
      </c>
      <c r="E68" t="inlineStr">
        <is>
          <t>ALL</t>
        </is>
      </c>
      <c r="F68" t="n">
        <v>0</v>
      </c>
      <c r="G68" t="inlineStr">
        <is>
          <t>C0A3 Index</t>
        </is>
      </c>
      <c r="H68" t="inlineStr">
        <is>
          <t>OAS_SPREAD_BID</t>
        </is>
      </c>
      <c r="I68" t="inlineStr">
        <is>
          <t>bps</t>
        </is>
      </c>
      <c r="J68" s="8">
        <f>IFERROR(INDEX(BDH($G$68,$H$68,'01_Parametros'!$B$3,'01_Parametros'!$B$3,"Days=A","Fill=B","Dir=H"),1,2),BDH($G$68,$H$68,'01_Parametros'!$B$3,'01_Parametros'!$B$3,"Days=A","Fill=B"))</f>
        <v/>
      </c>
      <c r="K68" s="8">
        <f>IFERROR(INDEX(BDH($G$68,$H$68,'01_Parametros'!$B$5,'01_Parametros'!$B$5,"Days=A","Fill=B","Dir=H"),1,2),BDH($G$68,$H$68,'01_Parametros'!$B$5,'01_Parametros'!$B$5,"Days=A","Fill=B"))</f>
        <v/>
      </c>
      <c r="L68" s="8">
        <f>IFERROR(INDEX(BDH($G$68,$H$68,'01_Parametros'!$B$6,'01_Parametros'!$B$6,"Days=A","Fill=B","Dir=H"),1,2),BDH($G$68,$H$68,'01_Parametros'!$B$6,'01_Parametros'!$B$6,"Days=A","Fill=B"))</f>
        <v/>
      </c>
      <c r="M68" s="8">
        <f>IFERROR(INDEX(BDH($G$68,$H$68,'01_Parametros'!$B$7,'01_Parametros'!$B$7,"Days=A","Fill=B","Dir=H"),1,2),BDH($G$68,$H$68,'01_Parametros'!$B$7,'01_Parametros'!$B$7,"Days=A","Fill=B"))</f>
        <v/>
      </c>
      <c r="N68" t="inlineStr">
        <is>
          <t>ICE BofA US Corp A OAS</t>
        </is>
      </c>
    </row>
    <row r="69">
      <c r="A69" t="n">
        <v>68</v>
      </c>
      <c r="B69" t="inlineStr">
        <is>
          <t>credit_index</t>
        </is>
      </c>
      <c r="C69" t="inlineStr">
        <is>
          <t>US</t>
        </is>
      </c>
      <c r="D69" t="inlineStr">
        <is>
          <t>ICE_C0A4_BBB_OAS</t>
        </is>
      </c>
      <c r="E69" t="inlineStr">
        <is>
          <t>ALL</t>
        </is>
      </c>
      <c r="F69" t="n">
        <v>0</v>
      </c>
      <c r="G69" t="inlineStr">
        <is>
          <t>C0A4 Index</t>
        </is>
      </c>
      <c r="H69" t="inlineStr">
        <is>
          <t>OAS_SPREAD_BID</t>
        </is>
      </c>
      <c r="I69" t="inlineStr">
        <is>
          <t>bps</t>
        </is>
      </c>
      <c r="J69" s="8">
        <f>IFERROR(INDEX(BDH($G$69,$H$69,'01_Parametros'!$B$3,'01_Parametros'!$B$3,"Days=A","Fill=B","Dir=H"),1,2),BDH($G$69,$H$69,'01_Parametros'!$B$3,'01_Parametros'!$B$3,"Days=A","Fill=B"))</f>
        <v/>
      </c>
      <c r="K69" s="8">
        <f>IFERROR(INDEX(BDH($G$69,$H$69,'01_Parametros'!$B$5,'01_Parametros'!$B$5,"Days=A","Fill=B","Dir=H"),1,2),BDH($G$69,$H$69,'01_Parametros'!$B$5,'01_Parametros'!$B$5,"Days=A","Fill=B"))</f>
        <v/>
      </c>
      <c r="L69" s="8">
        <f>IFERROR(INDEX(BDH($G$69,$H$69,'01_Parametros'!$B$6,'01_Parametros'!$B$6,"Days=A","Fill=B","Dir=H"),1,2),BDH($G$69,$H$69,'01_Parametros'!$B$6,'01_Parametros'!$B$6,"Days=A","Fill=B"))</f>
        <v/>
      </c>
      <c r="M69" s="8">
        <f>IFERROR(INDEX(BDH($G$69,$H$69,'01_Parametros'!$B$7,'01_Parametros'!$B$7,"Days=A","Fill=B","Dir=H"),1,2),BDH($G$69,$H$69,'01_Parametros'!$B$7,'01_Parametros'!$B$7,"Days=A","Fill=B"))</f>
        <v/>
      </c>
      <c r="N69" t="inlineStr">
        <is>
          <t>ICE BofA US Corp BBB OAS</t>
        </is>
      </c>
    </row>
    <row r="70">
      <c r="A70" t="n">
        <v>69</v>
      </c>
      <c r="B70" t="inlineStr">
        <is>
          <t>credit_index</t>
        </is>
      </c>
      <c r="C70" t="inlineStr">
        <is>
          <t>US</t>
        </is>
      </c>
      <c r="D70" t="inlineStr">
        <is>
          <t>ICE_H0A0_HY_YIELD</t>
        </is>
      </c>
      <c r="E70" t="inlineStr">
        <is>
          <t>ALL</t>
        </is>
      </c>
      <c r="F70" t="n">
        <v>0</v>
      </c>
      <c r="G70" t="inlineStr">
        <is>
          <t>H0A0 Index</t>
        </is>
      </c>
      <c r="H70" t="inlineStr">
        <is>
          <t>INDEX_YIELD_TO_WORST</t>
        </is>
      </c>
      <c r="I70" t="inlineStr">
        <is>
          <t>percent</t>
        </is>
      </c>
      <c r="J70" s="8">
        <f>IFERROR(INDEX(BDH($G$70,$H$70,'01_Parametros'!$B$3,'01_Parametros'!$B$3,"Days=A","Fill=B","Dir=H"),1,2),BDH($G$70,$H$70,'01_Parametros'!$B$3,'01_Parametros'!$B$3,"Days=A","Fill=B"))</f>
        <v/>
      </c>
      <c r="K70" s="8">
        <f>IFERROR(INDEX(BDH($G$70,$H$70,'01_Parametros'!$B$5,'01_Parametros'!$B$5,"Days=A","Fill=B","Dir=H"),1,2),BDH($G$70,$H$70,'01_Parametros'!$B$5,'01_Parametros'!$B$5,"Days=A","Fill=B"))</f>
        <v/>
      </c>
      <c r="L70" s="8">
        <f>IFERROR(INDEX(BDH($G$70,$H$70,'01_Parametros'!$B$6,'01_Parametros'!$B$6,"Days=A","Fill=B","Dir=H"),1,2),BDH($G$70,$H$70,'01_Parametros'!$B$6,'01_Parametros'!$B$6,"Days=A","Fill=B"))</f>
        <v/>
      </c>
      <c r="M70" s="8">
        <f>IFERROR(INDEX(BDH($G$70,$H$70,'01_Parametros'!$B$7,'01_Parametros'!$B$7,"Days=A","Fill=B","Dir=H"),1,2),BDH($G$70,$H$70,'01_Parametros'!$B$7,'01_Parametros'!$B$7,"Days=A","Fill=B"))</f>
        <v/>
      </c>
      <c r="N70" t="inlineStr">
        <is>
          <t>ICE BofA US HY Master YTW</t>
        </is>
      </c>
    </row>
    <row r="71">
      <c r="A71" t="n">
        <v>70</v>
      </c>
      <c r="B71" t="inlineStr">
        <is>
          <t>credit_index</t>
        </is>
      </c>
      <c r="C71" t="inlineStr">
        <is>
          <t>US</t>
        </is>
      </c>
      <c r="D71" t="inlineStr">
        <is>
          <t>ICE_H0A0_HY_OAS</t>
        </is>
      </c>
      <c r="E71" t="inlineStr">
        <is>
          <t>ALL</t>
        </is>
      </c>
      <c r="F71" t="n">
        <v>0</v>
      </c>
      <c r="G71" t="inlineStr">
        <is>
          <t>H0A0 Index</t>
        </is>
      </c>
      <c r="H71" t="inlineStr">
        <is>
          <t>OAS_SPREAD_BID</t>
        </is>
      </c>
      <c r="I71" t="inlineStr">
        <is>
          <t>bps</t>
        </is>
      </c>
      <c r="J71" s="8">
        <f>IFERROR(INDEX(BDH($G$71,$H$71,'01_Parametros'!$B$3,'01_Parametros'!$B$3,"Days=A","Fill=B","Dir=H"),1,2),BDH($G$71,$H$71,'01_Parametros'!$B$3,'01_Parametros'!$B$3,"Days=A","Fill=B"))</f>
        <v/>
      </c>
      <c r="K71" s="8">
        <f>IFERROR(INDEX(BDH($G$71,$H$71,'01_Parametros'!$B$5,'01_Parametros'!$B$5,"Days=A","Fill=B","Dir=H"),1,2),BDH($G$71,$H$71,'01_Parametros'!$B$5,'01_Parametros'!$B$5,"Days=A","Fill=B"))</f>
        <v/>
      </c>
      <c r="L71" s="8">
        <f>IFERROR(INDEX(BDH($G$71,$H$71,'01_Parametros'!$B$6,'01_Parametros'!$B$6,"Days=A","Fill=B","Dir=H"),1,2),BDH($G$71,$H$71,'01_Parametros'!$B$6,'01_Parametros'!$B$6,"Days=A","Fill=B"))</f>
        <v/>
      </c>
      <c r="M71" s="8">
        <f>IFERROR(INDEX(BDH($G$71,$H$71,'01_Parametros'!$B$7,'01_Parametros'!$B$7,"Days=A","Fill=B","Dir=H"),1,2),BDH($G$71,$H$71,'01_Parametros'!$B$7,'01_Parametros'!$B$7,"Days=A","Fill=B"))</f>
        <v/>
      </c>
      <c r="N71" t="inlineStr">
        <is>
          <t>ICE BofA US HY Master OAS</t>
        </is>
      </c>
    </row>
    <row r="72">
      <c r="A72" t="n">
        <v>71</v>
      </c>
      <c r="B72" t="inlineStr">
        <is>
          <t>credit_index</t>
        </is>
      </c>
      <c r="C72" t="inlineStr">
        <is>
          <t>US</t>
        </is>
      </c>
      <c r="D72" t="inlineStr">
        <is>
          <t>ICE_H0A1_BB_OAS</t>
        </is>
      </c>
      <c r="E72" t="inlineStr">
        <is>
          <t>ALL</t>
        </is>
      </c>
      <c r="F72" t="n">
        <v>0</v>
      </c>
      <c r="G72" t="inlineStr">
        <is>
          <t>H0A1 Index</t>
        </is>
      </c>
      <c r="H72" t="inlineStr">
        <is>
          <t>OAS_SPREAD_BID</t>
        </is>
      </c>
      <c r="I72" t="inlineStr">
        <is>
          <t>bps</t>
        </is>
      </c>
      <c r="J72" s="8">
        <f>IFERROR(INDEX(BDH($G$72,$H$72,'01_Parametros'!$B$3,'01_Parametros'!$B$3,"Days=A","Fill=B","Dir=H"),1,2),BDH($G$72,$H$72,'01_Parametros'!$B$3,'01_Parametros'!$B$3,"Days=A","Fill=B"))</f>
        <v/>
      </c>
      <c r="K72" s="8">
        <f>IFERROR(INDEX(BDH($G$72,$H$72,'01_Parametros'!$B$5,'01_Parametros'!$B$5,"Days=A","Fill=B","Dir=H"),1,2),BDH($G$72,$H$72,'01_Parametros'!$B$5,'01_Parametros'!$B$5,"Days=A","Fill=B"))</f>
        <v/>
      </c>
      <c r="L72" s="8">
        <f>IFERROR(INDEX(BDH($G$72,$H$72,'01_Parametros'!$B$6,'01_Parametros'!$B$6,"Days=A","Fill=B","Dir=H"),1,2),BDH($G$72,$H$72,'01_Parametros'!$B$6,'01_Parametros'!$B$6,"Days=A","Fill=B"))</f>
        <v/>
      </c>
      <c r="M72" s="8">
        <f>IFERROR(INDEX(BDH($G$72,$H$72,'01_Parametros'!$B$7,'01_Parametros'!$B$7,"Days=A","Fill=B","Dir=H"),1,2),BDH($G$72,$H$72,'01_Parametros'!$B$7,'01_Parametros'!$B$7,"Days=A","Fill=B"))</f>
        <v/>
      </c>
      <c r="N72" t="inlineStr">
        <is>
          <t>ICE BofA US HY BB OAS</t>
        </is>
      </c>
    </row>
    <row r="73">
      <c r="A73" t="n">
        <v>72</v>
      </c>
      <c r="B73" t="inlineStr">
        <is>
          <t>credit_index</t>
        </is>
      </c>
      <c r="C73" t="inlineStr">
        <is>
          <t>US</t>
        </is>
      </c>
      <c r="D73" t="inlineStr">
        <is>
          <t>ICE_H0A2_B_OAS</t>
        </is>
      </c>
      <c r="E73" t="inlineStr">
        <is>
          <t>ALL</t>
        </is>
      </c>
      <c r="F73" t="n">
        <v>0</v>
      </c>
      <c r="G73" t="inlineStr">
        <is>
          <t>H0A2 Index</t>
        </is>
      </c>
      <c r="H73" t="inlineStr">
        <is>
          <t>OAS_SPREAD_BID</t>
        </is>
      </c>
      <c r="I73" t="inlineStr">
        <is>
          <t>bps</t>
        </is>
      </c>
      <c r="J73" s="8">
        <f>IFERROR(INDEX(BDH($G$73,$H$73,'01_Parametros'!$B$3,'01_Parametros'!$B$3,"Days=A","Fill=B","Dir=H"),1,2),BDH($G$73,$H$73,'01_Parametros'!$B$3,'01_Parametros'!$B$3,"Days=A","Fill=B"))</f>
        <v/>
      </c>
      <c r="K73" s="8">
        <f>IFERROR(INDEX(BDH($G$73,$H$73,'01_Parametros'!$B$5,'01_Parametros'!$B$5,"Days=A","Fill=B","Dir=H"),1,2),BDH($G$73,$H$73,'01_Parametros'!$B$5,'01_Parametros'!$B$5,"Days=A","Fill=B"))</f>
        <v/>
      </c>
      <c r="L73" s="8">
        <f>IFERROR(INDEX(BDH($G$73,$H$73,'01_Parametros'!$B$6,'01_Parametros'!$B$6,"Days=A","Fill=B","Dir=H"),1,2),BDH($G$73,$H$73,'01_Parametros'!$B$6,'01_Parametros'!$B$6,"Days=A","Fill=B"))</f>
        <v/>
      </c>
      <c r="M73" s="8">
        <f>IFERROR(INDEX(BDH($G$73,$H$73,'01_Parametros'!$B$7,'01_Parametros'!$B$7,"Days=A","Fill=B","Dir=H"),1,2),BDH($G$73,$H$73,'01_Parametros'!$B$7,'01_Parametros'!$B$7,"Days=A","Fill=B"))</f>
        <v/>
      </c>
      <c r="N73" t="inlineStr">
        <is>
          <t>ICE BofA US HY Single-B OAS</t>
        </is>
      </c>
    </row>
    <row r="74">
      <c r="A74" t="n">
        <v>73</v>
      </c>
      <c r="B74" t="inlineStr">
        <is>
          <t>credit_index</t>
        </is>
      </c>
      <c r="C74" t="inlineStr">
        <is>
          <t>US</t>
        </is>
      </c>
      <c r="D74" t="inlineStr">
        <is>
          <t>ICE_H0A3_CCC_OAS</t>
        </is>
      </c>
      <c r="E74" t="inlineStr">
        <is>
          <t>ALL</t>
        </is>
      </c>
      <c r="F74" t="n">
        <v>0</v>
      </c>
      <c r="G74" t="inlineStr">
        <is>
          <t>H0A3 Index</t>
        </is>
      </c>
      <c r="H74" t="inlineStr">
        <is>
          <t>OAS_SPREAD_BID</t>
        </is>
      </c>
      <c r="I74" t="inlineStr">
        <is>
          <t>bps</t>
        </is>
      </c>
      <c r="J74" s="8">
        <f>IFERROR(INDEX(BDH($G$74,$H$74,'01_Parametros'!$B$3,'01_Parametros'!$B$3,"Days=A","Fill=B","Dir=H"),1,2),BDH($G$74,$H$74,'01_Parametros'!$B$3,'01_Parametros'!$B$3,"Days=A","Fill=B"))</f>
        <v/>
      </c>
      <c r="K74" s="8">
        <f>IFERROR(INDEX(BDH($G$74,$H$74,'01_Parametros'!$B$5,'01_Parametros'!$B$5,"Days=A","Fill=B","Dir=H"),1,2),BDH($G$74,$H$74,'01_Parametros'!$B$5,'01_Parametros'!$B$5,"Days=A","Fill=B"))</f>
        <v/>
      </c>
      <c r="L74" s="8">
        <f>IFERROR(INDEX(BDH($G$74,$H$74,'01_Parametros'!$B$6,'01_Parametros'!$B$6,"Days=A","Fill=B","Dir=H"),1,2),BDH($G$74,$H$74,'01_Parametros'!$B$6,'01_Parametros'!$B$6,"Days=A","Fill=B"))</f>
        <v/>
      </c>
      <c r="M74" s="8">
        <f>IFERROR(INDEX(BDH($G$74,$H$74,'01_Parametros'!$B$7,'01_Parametros'!$B$7,"Days=A","Fill=B","Dir=H"),1,2),BDH($G$74,$H$74,'01_Parametros'!$B$7,'01_Parametros'!$B$7,"Days=A","Fill=B"))</f>
        <v/>
      </c>
      <c r="N74" t="inlineStr">
        <is>
          <t>ICE BofA US HY CCC OAS</t>
        </is>
      </c>
    </row>
    <row r="75">
      <c r="A75" t="n">
        <v>74</v>
      </c>
      <c r="B75" t="inlineStr">
        <is>
          <t>credit_index</t>
        </is>
      </c>
      <c r="C75" t="inlineStr">
        <is>
          <t>EM</t>
        </is>
      </c>
      <c r="D75" t="inlineStr">
        <is>
          <t>CEMBI_BROAD_SPRD</t>
        </is>
      </c>
      <c r="E75" t="inlineStr">
        <is>
          <t>ALL</t>
        </is>
      </c>
      <c r="F75" t="n">
        <v>0</v>
      </c>
      <c r="G75" t="inlineStr">
        <is>
          <t>JPCBBRDF Index</t>
        </is>
      </c>
      <c r="H75" t="inlineStr">
        <is>
          <t>PX_LAST</t>
        </is>
      </c>
      <c r="I75" t="inlineStr">
        <is>
          <t>bps</t>
        </is>
      </c>
      <c r="J75" s="8">
        <f>IFERROR(INDEX(BDH($G$75,$H$75,'01_Parametros'!$B$3,'01_Parametros'!$B$3,"Days=A","Fill=B","Dir=H"),1,2),BDH($G$75,$H$75,'01_Parametros'!$B$3,'01_Parametros'!$B$3,"Days=A","Fill=B"))</f>
        <v/>
      </c>
      <c r="K75" s="8">
        <f>IFERROR(INDEX(BDH($G$75,$H$75,'01_Parametros'!$B$5,'01_Parametros'!$B$5,"Days=A","Fill=B","Dir=H"),1,2),BDH($G$75,$H$75,'01_Parametros'!$B$5,'01_Parametros'!$B$5,"Days=A","Fill=B"))</f>
        <v/>
      </c>
      <c r="L75" s="8">
        <f>IFERROR(INDEX(BDH($G$75,$H$75,'01_Parametros'!$B$6,'01_Parametros'!$B$6,"Days=A","Fill=B","Dir=H"),1,2),BDH($G$75,$H$75,'01_Parametros'!$B$6,'01_Parametros'!$B$6,"Days=A","Fill=B"))</f>
        <v/>
      </c>
      <c r="M75" s="8">
        <f>IFERROR(INDEX(BDH($G$75,$H$75,'01_Parametros'!$B$7,'01_Parametros'!$B$7,"Days=A","Fill=B","Dir=H"),1,2),BDH($G$75,$H$75,'01_Parametros'!$B$7,'01_Parametros'!$B$7,"Days=A","Fill=B"))</f>
        <v/>
      </c>
      <c r="N75" t="inlineStr">
        <is>
          <t>CEMBI Broad Diversified spread — confirmar</t>
        </is>
      </c>
    </row>
    <row r="76">
      <c r="A76" t="n">
        <v>75</v>
      </c>
      <c r="B76" t="inlineStr">
        <is>
          <t>credit_index</t>
        </is>
      </c>
      <c r="C76" t="inlineStr">
        <is>
          <t>LATAM</t>
        </is>
      </c>
      <c r="D76" t="inlineStr">
        <is>
          <t>CEMBI_LATAM_SPRD</t>
        </is>
      </c>
      <c r="E76" t="inlineStr">
        <is>
          <t>ALL</t>
        </is>
      </c>
      <c r="F76" t="n">
        <v>0</v>
      </c>
      <c r="G76" t="inlineStr">
        <is>
          <t>JPCBLATS Index</t>
        </is>
      </c>
      <c r="H76" t="inlineStr">
        <is>
          <t>PX_LAST</t>
        </is>
      </c>
      <c r="I76" t="inlineStr">
        <is>
          <t>bps</t>
        </is>
      </c>
      <c r="J76" s="8">
        <f>IFERROR(INDEX(BDH($G$76,$H$76,'01_Parametros'!$B$3,'01_Parametros'!$B$3,"Days=A","Fill=B","Dir=H"),1,2),BDH($G$76,$H$76,'01_Parametros'!$B$3,'01_Parametros'!$B$3,"Days=A","Fill=B"))</f>
        <v/>
      </c>
      <c r="K76" s="8">
        <f>IFERROR(INDEX(BDH($G$76,$H$76,'01_Parametros'!$B$5,'01_Parametros'!$B$5,"Days=A","Fill=B","Dir=H"),1,2),BDH($G$76,$H$76,'01_Parametros'!$B$5,'01_Parametros'!$B$5,"Days=A","Fill=B"))</f>
        <v/>
      </c>
      <c r="L76" s="8">
        <f>IFERROR(INDEX(BDH($G$76,$H$76,'01_Parametros'!$B$6,'01_Parametros'!$B$6,"Days=A","Fill=B","Dir=H"),1,2),BDH($G$76,$H$76,'01_Parametros'!$B$6,'01_Parametros'!$B$6,"Days=A","Fill=B"))</f>
        <v/>
      </c>
      <c r="M76" s="8">
        <f>IFERROR(INDEX(BDH($G$76,$H$76,'01_Parametros'!$B$7,'01_Parametros'!$B$7,"Days=A","Fill=B","Dir=H"),1,2),BDH($G$76,$H$76,'01_Parametros'!$B$7,'01_Parametros'!$B$7,"Days=A","Fill=B"))</f>
        <v/>
      </c>
      <c r="N76" t="inlineStr">
        <is>
          <t>CEMBI Latam spread — confirmar</t>
        </is>
      </c>
    </row>
    <row r="77">
      <c r="A77" t="n">
        <v>76</v>
      </c>
      <c r="B77" t="inlineStr">
        <is>
          <t>fx</t>
        </is>
      </c>
      <c r="C77" t="inlineStr">
        <is>
          <t>VE</t>
        </is>
      </c>
      <c r="D77" t="inlineStr">
        <is>
          <t>USDVES_OFICIAL</t>
        </is>
      </c>
      <c r="E77" t="inlineStr">
        <is>
          <t>SPOT</t>
        </is>
      </c>
      <c r="F77" t="n">
        <v>0</v>
      </c>
      <c r="G77" t="inlineStr">
        <is>
          <t>USDVES Curncy</t>
        </is>
      </c>
      <c r="H77" t="inlineStr">
        <is>
          <t>PX_LAST</t>
        </is>
      </c>
      <c r="I77" t="inlineStr">
        <is>
          <t>rate</t>
        </is>
      </c>
      <c r="J77" s="8">
        <f>IFERROR(INDEX(BDH($G$77,$H$77,'01_Parametros'!$B$3,'01_Parametros'!$B$3,"Days=A","Fill=B","Dir=H"),1,2),BDH($G$77,$H$77,'01_Parametros'!$B$3,'01_Parametros'!$B$3,"Days=A","Fill=B"))</f>
        <v/>
      </c>
      <c r="K77" s="8">
        <f>IFERROR(INDEX(BDH($G$77,$H$77,'01_Parametros'!$B$5,'01_Parametros'!$B$5,"Days=A","Fill=B","Dir=H"),1,2),BDH($G$77,$H$77,'01_Parametros'!$B$5,'01_Parametros'!$B$5,"Days=A","Fill=B"))</f>
        <v/>
      </c>
      <c r="L77" s="8">
        <f>IFERROR(INDEX(BDH($G$77,$H$77,'01_Parametros'!$B$6,'01_Parametros'!$B$6,"Days=A","Fill=B","Dir=H"),1,2),BDH($G$77,$H$77,'01_Parametros'!$B$6,'01_Parametros'!$B$6,"Days=A","Fill=B"))</f>
        <v/>
      </c>
      <c r="M77" s="8">
        <f>IFERROR(INDEX(BDH($G$77,$H$77,'01_Parametros'!$B$7,'01_Parametros'!$B$7,"Days=A","Fill=B","Dir=H"),1,2),BDH($G$77,$H$77,'01_Parametros'!$B$7,'01_Parametros'!$B$7,"Days=A","Fill=B"))</f>
        <v/>
      </c>
      <c r="N77" t="inlineStr">
        <is>
          <t>USD/VES oficial BCV — si BBG lo tiene</t>
        </is>
      </c>
    </row>
    <row r="78">
      <c r="A78" t="n">
        <v>77</v>
      </c>
      <c r="B78" t="inlineStr">
        <is>
          <t>swap_curve</t>
        </is>
      </c>
      <c r="C78" t="inlineStr">
        <is>
          <t>US</t>
        </is>
      </c>
      <c r="D78" t="inlineStr">
        <is>
          <t>SOFR_OIS</t>
        </is>
      </c>
      <c r="E78" t="inlineStr">
        <is>
          <t>1Y</t>
        </is>
      </c>
      <c r="F78" t="n">
        <v>1</v>
      </c>
      <c r="G78" t="inlineStr">
        <is>
          <t>USOSFR1 BGN Curncy</t>
        </is>
      </c>
      <c r="H78" t="inlineStr">
        <is>
          <t>PX_LAST</t>
        </is>
      </c>
      <c r="I78" t="inlineStr">
        <is>
          <t>percent</t>
        </is>
      </c>
      <c r="J78" s="8">
        <f>IFERROR(INDEX(BDH($G$78,$H$78,'01_Parametros'!$B$3,'01_Parametros'!$B$3,"Days=A","Fill=B","Dir=H"),1,2),BDH($G$78,$H$78,'01_Parametros'!$B$3,'01_Parametros'!$B$3,"Days=A","Fill=B"))</f>
        <v/>
      </c>
      <c r="K78" s="8">
        <f>IFERROR(INDEX(BDH($G$78,$H$78,'01_Parametros'!$B$5,'01_Parametros'!$B$5,"Days=A","Fill=B","Dir=H"),1,2),BDH($G$78,$H$78,'01_Parametros'!$B$5,'01_Parametros'!$B$5,"Days=A","Fill=B"))</f>
        <v/>
      </c>
      <c r="L78" s="8">
        <f>IFERROR(INDEX(BDH($G$78,$H$78,'01_Parametros'!$B$6,'01_Parametros'!$B$6,"Days=A","Fill=B","Dir=H"),1,2),BDH($G$78,$H$78,'01_Parametros'!$B$6,'01_Parametros'!$B$6,"Days=A","Fill=B"))</f>
        <v/>
      </c>
      <c r="M78" s="8">
        <f>IFERROR(INDEX(BDH($G$78,$H$78,'01_Parametros'!$B$7,'01_Parametros'!$B$7,"Days=A","Fill=B","Dir=H"),1,2),BDH($G$78,$H$78,'01_Parametros'!$B$7,'01_Parametros'!$B$7,"Days=A","Fill=B"))</f>
        <v/>
      </c>
      <c r="N78" t="inlineStr">
        <is>
          <t>USD SOFR OIS 1Y</t>
        </is>
      </c>
    </row>
    <row r="79">
      <c r="A79" t="n">
        <v>78</v>
      </c>
      <c r="B79" t="inlineStr">
        <is>
          <t>swap_curve</t>
        </is>
      </c>
      <c r="C79" t="inlineStr">
        <is>
          <t>US</t>
        </is>
      </c>
      <c r="D79" t="inlineStr">
        <is>
          <t>SOFR_OIS</t>
        </is>
      </c>
      <c r="E79" t="inlineStr">
        <is>
          <t>3Y</t>
        </is>
      </c>
      <c r="F79" t="n">
        <v>3</v>
      </c>
      <c r="G79" t="inlineStr">
        <is>
          <t>USOSFR3 BGN Curncy</t>
        </is>
      </c>
      <c r="H79" t="inlineStr">
        <is>
          <t>PX_LAST</t>
        </is>
      </c>
      <c r="I79" t="inlineStr">
        <is>
          <t>percent</t>
        </is>
      </c>
      <c r="J79" s="8">
        <f>IFERROR(INDEX(BDH($G$79,$H$79,'01_Parametros'!$B$3,'01_Parametros'!$B$3,"Days=A","Fill=B","Dir=H"),1,2),BDH($G$79,$H$79,'01_Parametros'!$B$3,'01_Parametros'!$B$3,"Days=A","Fill=B"))</f>
        <v/>
      </c>
      <c r="K79" s="8">
        <f>IFERROR(INDEX(BDH($G$79,$H$79,'01_Parametros'!$B$5,'01_Parametros'!$B$5,"Days=A","Fill=B","Dir=H"),1,2),BDH($G$79,$H$79,'01_Parametros'!$B$5,'01_Parametros'!$B$5,"Days=A","Fill=B"))</f>
        <v/>
      </c>
      <c r="L79" s="8">
        <f>IFERROR(INDEX(BDH($G$79,$H$79,'01_Parametros'!$B$6,'01_Parametros'!$B$6,"Days=A","Fill=B","Dir=H"),1,2),BDH($G$79,$H$79,'01_Parametros'!$B$6,'01_Parametros'!$B$6,"Days=A","Fill=B"))</f>
        <v/>
      </c>
      <c r="M79" s="8">
        <f>IFERROR(INDEX(BDH($G$79,$H$79,'01_Parametros'!$B$7,'01_Parametros'!$B$7,"Days=A","Fill=B","Dir=H"),1,2),BDH($G$79,$H$79,'01_Parametros'!$B$7,'01_Parametros'!$B$7,"Days=A","Fill=B"))</f>
        <v/>
      </c>
      <c r="N79" t="inlineStr">
        <is>
          <t>USD SOFR OIS 3Y</t>
        </is>
      </c>
    </row>
    <row r="80">
      <c r="A80" t="n">
        <v>79</v>
      </c>
      <c r="B80" t="inlineStr">
        <is>
          <t>fx_forward</t>
        </is>
      </c>
      <c r="C80" t="inlineStr">
        <is>
          <t>G10</t>
        </is>
      </c>
      <c r="D80" t="inlineStr">
        <is>
          <t>EURUSD_FWD</t>
        </is>
      </c>
      <c r="E80" t="inlineStr">
        <is>
          <t>1M</t>
        </is>
      </c>
      <c r="F80" t="n">
        <v>0.083</v>
      </c>
      <c r="G80" t="inlineStr">
        <is>
          <t>EUR1M BGN Curncy</t>
        </is>
      </c>
      <c r="H80" t="inlineStr">
        <is>
          <t>PX_LAST</t>
        </is>
      </c>
      <c r="I80" t="inlineStr">
        <is>
          <t>rate</t>
        </is>
      </c>
      <c r="J80" s="8">
        <f>IFERROR(INDEX(BDH($G$80,$H$80,'01_Parametros'!$B$3,'01_Parametros'!$B$3,"Days=A","Fill=B","Dir=H"),1,2),BDH($G$80,$H$80,'01_Parametros'!$B$3,'01_Parametros'!$B$3,"Days=A","Fill=B"))</f>
        <v/>
      </c>
      <c r="K80" s="8">
        <f>IFERROR(INDEX(BDH($G$80,$H$80,'01_Parametros'!$B$5,'01_Parametros'!$B$5,"Days=A","Fill=B","Dir=H"),1,2),BDH($G$80,$H$80,'01_Parametros'!$B$5,'01_Parametros'!$B$5,"Days=A","Fill=B"))</f>
        <v/>
      </c>
      <c r="L80" s="8">
        <f>IFERROR(INDEX(BDH($G$80,$H$80,'01_Parametros'!$B$6,'01_Parametros'!$B$6,"Days=A","Fill=B","Dir=H"),1,2),BDH($G$80,$H$80,'01_Parametros'!$B$6,'01_Parametros'!$B$6,"Days=A","Fill=B"))</f>
        <v/>
      </c>
      <c r="M80" s="8">
        <f>IFERROR(INDEX(BDH($G$80,$H$80,'01_Parametros'!$B$7,'01_Parametros'!$B$7,"Days=A","Fill=B","Dir=H"),1,2),BDH($G$80,$H$80,'01_Parametros'!$B$7,'01_Parametros'!$B$7,"Days=A","Fill=B"))</f>
        <v/>
      </c>
      <c r="N80" t="inlineStr">
        <is>
          <t>EUR/USD forward 1M</t>
        </is>
      </c>
    </row>
    <row r="81">
      <c r="A81" t="n">
        <v>80</v>
      </c>
      <c r="B81" t="inlineStr">
        <is>
          <t>fx_forward</t>
        </is>
      </c>
      <c r="C81" t="inlineStr">
        <is>
          <t>G10</t>
        </is>
      </c>
      <c r="D81" t="inlineStr">
        <is>
          <t>EURUSD_FWD</t>
        </is>
      </c>
      <c r="E81" t="inlineStr">
        <is>
          <t>3M</t>
        </is>
      </c>
      <c r="F81" t="n">
        <v>0.25</v>
      </c>
      <c r="G81" t="inlineStr">
        <is>
          <t>EUR3M BGN Curncy</t>
        </is>
      </c>
      <c r="H81" t="inlineStr">
        <is>
          <t>PX_LAST</t>
        </is>
      </c>
      <c r="I81" t="inlineStr">
        <is>
          <t>rate</t>
        </is>
      </c>
      <c r="J81" s="8">
        <f>IFERROR(INDEX(BDH($G$81,$H$81,'01_Parametros'!$B$3,'01_Parametros'!$B$3,"Days=A","Fill=B","Dir=H"),1,2),BDH($G$81,$H$81,'01_Parametros'!$B$3,'01_Parametros'!$B$3,"Days=A","Fill=B"))</f>
        <v/>
      </c>
      <c r="K81" s="8">
        <f>IFERROR(INDEX(BDH($G$81,$H$81,'01_Parametros'!$B$5,'01_Parametros'!$B$5,"Days=A","Fill=B","Dir=H"),1,2),BDH($G$81,$H$81,'01_Parametros'!$B$5,'01_Parametros'!$B$5,"Days=A","Fill=B"))</f>
        <v/>
      </c>
      <c r="L81" s="8">
        <f>IFERROR(INDEX(BDH($G$81,$H$81,'01_Parametros'!$B$6,'01_Parametros'!$B$6,"Days=A","Fill=B","Dir=H"),1,2),BDH($G$81,$H$81,'01_Parametros'!$B$6,'01_Parametros'!$B$6,"Days=A","Fill=B"))</f>
        <v/>
      </c>
      <c r="M81" s="8">
        <f>IFERROR(INDEX(BDH($G$81,$H$81,'01_Parametros'!$B$7,'01_Parametros'!$B$7,"Days=A","Fill=B","Dir=H"),1,2),BDH($G$81,$H$81,'01_Parametros'!$B$7,'01_Parametros'!$B$7,"Days=A","Fill=B"))</f>
        <v/>
      </c>
      <c r="N81" t="inlineStr">
        <is>
          <t>EUR/USD forward 3M</t>
        </is>
      </c>
    </row>
    <row r="82">
      <c r="A82" t="n">
        <v>81</v>
      </c>
      <c r="B82" t="inlineStr">
        <is>
          <t>fx_forward</t>
        </is>
      </c>
      <c r="C82" t="inlineStr">
        <is>
          <t>G10</t>
        </is>
      </c>
      <c r="D82" t="inlineStr">
        <is>
          <t>EURUSD_FWD</t>
        </is>
      </c>
      <c r="E82" t="inlineStr">
        <is>
          <t>6M</t>
        </is>
      </c>
      <c r="F82" t="n">
        <v>0.5</v>
      </c>
      <c r="G82" t="inlineStr">
        <is>
          <t>EUR6M BGN Curncy</t>
        </is>
      </c>
      <c r="H82" t="inlineStr">
        <is>
          <t>PX_LAST</t>
        </is>
      </c>
      <c r="I82" t="inlineStr">
        <is>
          <t>rate</t>
        </is>
      </c>
      <c r="J82" s="8">
        <f>IFERROR(INDEX(BDH($G$82,$H$82,'01_Parametros'!$B$3,'01_Parametros'!$B$3,"Days=A","Fill=B","Dir=H"),1,2),BDH($G$82,$H$82,'01_Parametros'!$B$3,'01_Parametros'!$B$3,"Days=A","Fill=B"))</f>
        <v/>
      </c>
      <c r="K82" s="8">
        <f>IFERROR(INDEX(BDH($G$82,$H$82,'01_Parametros'!$B$5,'01_Parametros'!$B$5,"Days=A","Fill=B","Dir=H"),1,2),BDH($G$82,$H$82,'01_Parametros'!$B$5,'01_Parametros'!$B$5,"Days=A","Fill=B"))</f>
        <v/>
      </c>
      <c r="L82" s="8">
        <f>IFERROR(INDEX(BDH($G$82,$H$82,'01_Parametros'!$B$6,'01_Parametros'!$B$6,"Days=A","Fill=B","Dir=H"),1,2),BDH($G$82,$H$82,'01_Parametros'!$B$6,'01_Parametros'!$B$6,"Days=A","Fill=B"))</f>
        <v/>
      </c>
      <c r="M82" s="8">
        <f>IFERROR(INDEX(BDH($G$82,$H$82,'01_Parametros'!$B$7,'01_Parametros'!$B$7,"Days=A","Fill=B","Dir=H"),1,2),BDH($G$82,$H$82,'01_Parametros'!$B$7,'01_Parametros'!$B$7,"Days=A","Fill=B"))</f>
        <v/>
      </c>
      <c r="N82" t="inlineStr">
        <is>
          <t>EUR/USD forward 6M</t>
        </is>
      </c>
    </row>
    <row r="83">
      <c r="A83" t="n">
        <v>82</v>
      </c>
      <c r="B83" t="inlineStr">
        <is>
          <t>fx_forward</t>
        </is>
      </c>
      <c r="C83" t="inlineStr">
        <is>
          <t>G10</t>
        </is>
      </c>
      <c r="D83" t="inlineStr">
        <is>
          <t>EURUSD_FWD</t>
        </is>
      </c>
      <c r="E83" t="inlineStr">
        <is>
          <t>1Y</t>
        </is>
      </c>
      <c r="F83" t="n">
        <v>1</v>
      </c>
      <c r="G83" t="inlineStr">
        <is>
          <t>EUR12M BGN Curncy</t>
        </is>
      </c>
      <c r="H83" t="inlineStr">
        <is>
          <t>PX_LAST</t>
        </is>
      </c>
      <c r="I83" t="inlineStr">
        <is>
          <t>rate</t>
        </is>
      </c>
      <c r="J83" s="8">
        <f>IFERROR(INDEX(BDH($G$83,$H$83,'01_Parametros'!$B$3,'01_Parametros'!$B$3,"Days=A","Fill=B","Dir=H"),1,2),BDH($G$83,$H$83,'01_Parametros'!$B$3,'01_Parametros'!$B$3,"Days=A","Fill=B"))</f>
        <v/>
      </c>
      <c r="K83" s="8">
        <f>IFERROR(INDEX(BDH($G$83,$H$83,'01_Parametros'!$B$5,'01_Parametros'!$B$5,"Days=A","Fill=B","Dir=H"),1,2),BDH($G$83,$H$83,'01_Parametros'!$B$5,'01_Parametros'!$B$5,"Days=A","Fill=B"))</f>
        <v/>
      </c>
      <c r="L83" s="8">
        <f>IFERROR(INDEX(BDH($G$83,$H$83,'01_Parametros'!$B$6,'01_Parametros'!$B$6,"Days=A","Fill=B","Dir=H"),1,2),BDH($G$83,$H$83,'01_Parametros'!$B$6,'01_Parametros'!$B$6,"Days=A","Fill=B"))</f>
        <v/>
      </c>
      <c r="M83" s="8">
        <f>IFERROR(INDEX(BDH($G$83,$H$83,'01_Parametros'!$B$7,'01_Parametros'!$B$7,"Days=A","Fill=B","Dir=H"),1,2),BDH($G$83,$H$83,'01_Parametros'!$B$7,'01_Parametros'!$B$7,"Days=A","Fill=B"))</f>
        <v/>
      </c>
      <c r="N83" t="inlineStr">
        <is>
          <t>EUR/USD forward 1Y</t>
        </is>
      </c>
    </row>
    <row r="84">
      <c r="A84" t="n">
        <v>83</v>
      </c>
      <c r="B84" t="inlineStr">
        <is>
          <t>fx_forward</t>
        </is>
      </c>
      <c r="C84" t="inlineStr">
        <is>
          <t>G10</t>
        </is>
      </c>
      <c r="D84" t="inlineStr">
        <is>
          <t>EURUSD_FWD</t>
        </is>
      </c>
      <c r="E84" t="inlineStr">
        <is>
          <t>2Y</t>
        </is>
      </c>
      <c r="F84" t="n">
        <v>2</v>
      </c>
      <c r="G84" t="inlineStr">
        <is>
          <t>EUR2Y BGN Curncy</t>
        </is>
      </c>
      <c r="H84" t="inlineStr">
        <is>
          <t>PX_LAST</t>
        </is>
      </c>
      <c r="I84" t="inlineStr">
        <is>
          <t>rate</t>
        </is>
      </c>
      <c r="J84" s="8">
        <f>IFERROR(INDEX(BDH($G$84,$H$84,'01_Parametros'!$B$3,'01_Parametros'!$B$3,"Days=A","Fill=B","Dir=H"),1,2),BDH($G$84,$H$84,'01_Parametros'!$B$3,'01_Parametros'!$B$3,"Days=A","Fill=B"))</f>
        <v/>
      </c>
      <c r="K84" s="8">
        <f>IFERROR(INDEX(BDH($G$84,$H$84,'01_Parametros'!$B$5,'01_Parametros'!$B$5,"Days=A","Fill=B","Dir=H"),1,2),BDH($G$84,$H$84,'01_Parametros'!$B$5,'01_Parametros'!$B$5,"Days=A","Fill=B"))</f>
        <v/>
      </c>
      <c r="L84" s="8">
        <f>IFERROR(INDEX(BDH($G$84,$H$84,'01_Parametros'!$B$6,'01_Parametros'!$B$6,"Days=A","Fill=B","Dir=H"),1,2),BDH($G$84,$H$84,'01_Parametros'!$B$6,'01_Parametros'!$B$6,"Days=A","Fill=B"))</f>
        <v/>
      </c>
      <c r="M84" s="8">
        <f>IFERROR(INDEX(BDH($G$84,$H$84,'01_Parametros'!$B$7,'01_Parametros'!$B$7,"Days=A","Fill=B","Dir=H"),1,2),BDH($G$84,$H$84,'01_Parametros'!$B$7,'01_Parametros'!$B$7,"Days=A","Fill=B"))</f>
        <v/>
      </c>
      <c r="N84" t="inlineStr">
        <is>
          <t>EUR/USD forward 2Y</t>
        </is>
      </c>
    </row>
    <row r="85">
      <c r="A85" t="n">
        <v>84</v>
      </c>
      <c r="B85" t="inlineStr">
        <is>
          <t>fx_forward</t>
        </is>
      </c>
      <c r="C85" t="inlineStr">
        <is>
          <t>G10</t>
        </is>
      </c>
      <c r="D85" t="inlineStr">
        <is>
          <t>EURUSD_FWD</t>
        </is>
      </c>
      <c r="E85" t="inlineStr">
        <is>
          <t>3Y</t>
        </is>
      </c>
      <c r="F85" t="n">
        <v>3</v>
      </c>
      <c r="G85" t="inlineStr">
        <is>
          <t>EUR3Y BGN Curncy</t>
        </is>
      </c>
      <c r="H85" t="inlineStr">
        <is>
          <t>PX_LAST</t>
        </is>
      </c>
      <c r="I85" t="inlineStr">
        <is>
          <t>rate</t>
        </is>
      </c>
      <c r="J85" s="8">
        <f>IFERROR(INDEX(BDH($G$85,$H$85,'01_Parametros'!$B$3,'01_Parametros'!$B$3,"Days=A","Fill=B","Dir=H"),1,2),BDH($G$85,$H$85,'01_Parametros'!$B$3,'01_Parametros'!$B$3,"Days=A","Fill=B"))</f>
        <v/>
      </c>
      <c r="K85" s="8">
        <f>IFERROR(INDEX(BDH($G$85,$H$85,'01_Parametros'!$B$5,'01_Parametros'!$B$5,"Days=A","Fill=B","Dir=H"),1,2),BDH($G$85,$H$85,'01_Parametros'!$B$5,'01_Parametros'!$B$5,"Days=A","Fill=B"))</f>
        <v/>
      </c>
      <c r="L85" s="8">
        <f>IFERROR(INDEX(BDH($G$85,$H$85,'01_Parametros'!$B$6,'01_Parametros'!$B$6,"Days=A","Fill=B","Dir=H"),1,2),BDH($G$85,$H$85,'01_Parametros'!$B$6,'01_Parametros'!$B$6,"Days=A","Fill=B"))</f>
        <v/>
      </c>
      <c r="M85" s="8">
        <f>IFERROR(INDEX(BDH($G$85,$H$85,'01_Parametros'!$B$7,'01_Parametros'!$B$7,"Days=A","Fill=B","Dir=H"),1,2),BDH($G$85,$H$85,'01_Parametros'!$B$7,'01_Parametros'!$B$7,"Days=A","Fill=B"))</f>
        <v/>
      </c>
      <c r="N85" t="inlineStr">
        <is>
          <t>EUR/USD forward 3Y</t>
        </is>
      </c>
    </row>
    <row r="86">
      <c r="A86" t="n">
        <v>85</v>
      </c>
      <c r="B86" t="inlineStr">
        <is>
          <t>fx_forward</t>
        </is>
      </c>
      <c r="C86" t="inlineStr">
        <is>
          <t>G10</t>
        </is>
      </c>
      <c r="D86" t="inlineStr">
        <is>
          <t>EURUSD_FWD</t>
        </is>
      </c>
      <c r="E86" t="inlineStr">
        <is>
          <t>4Y</t>
        </is>
      </c>
      <c r="F86" t="n">
        <v>4</v>
      </c>
      <c r="G86" t="inlineStr">
        <is>
          <t>EUR4Y BGN Curncy</t>
        </is>
      </c>
      <c r="H86" t="inlineStr">
        <is>
          <t>PX_LAST</t>
        </is>
      </c>
      <c r="I86" t="inlineStr">
        <is>
          <t>rate</t>
        </is>
      </c>
      <c r="J86" s="8">
        <f>IFERROR(INDEX(BDH($G$86,$H$86,'01_Parametros'!$B$3,'01_Parametros'!$B$3,"Days=A","Fill=B","Dir=H"),1,2),BDH($G$86,$H$86,'01_Parametros'!$B$3,'01_Parametros'!$B$3,"Days=A","Fill=B"))</f>
        <v/>
      </c>
      <c r="K86" s="8">
        <f>IFERROR(INDEX(BDH($G$86,$H$86,'01_Parametros'!$B$5,'01_Parametros'!$B$5,"Days=A","Fill=B","Dir=H"),1,2),BDH($G$86,$H$86,'01_Parametros'!$B$5,'01_Parametros'!$B$5,"Days=A","Fill=B"))</f>
        <v/>
      </c>
      <c r="L86" s="8">
        <f>IFERROR(INDEX(BDH($G$86,$H$86,'01_Parametros'!$B$6,'01_Parametros'!$B$6,"Days=A","Fill=B","Dir=H"),1,2),BDH($G$86,$H$86,'01_Parametros'!$B$6,'01_Parametros'!$B$6,"Days=A","Fill=B"))</f>
        <v/>
      </c>
      <c r="M86" s="8">
        <f>IFERROR(INDEX(BDH($G$86,$H$86,'01_Parametros'!$B$7,'01_Parametros'!$B$7,"Days=A","Fill=B","Dir=H"),1,2),BDH($G$86,$H$86,'01_Parametros'!$B$7,'01_Parametros'!$B$7,"Days=A","Fill=B"))</f>
        <v/>
      </c>
      <c r="N86" t="inlineStr">
        <is>
          <t>EUR/USD forward 4Y</t>
        </is>
      </c>
    </row>
    <row r="87">
      <c r="A87" t="n">
        <v>86</v>
      </c>
      <c r="B87" t="inlineStr">
        <is>
          <t>fx_forward</t>
        </is>
      </c>
      <c r="C87" t="inlineStr">
        <is>
          <t>G10</t>
        </is>
      </c>
      <c r="D87" t="inlineStr">
        <is>
          <t>EURUSD_FWD</t>
        </is>
      </c>
      <c r="E87" t="inlineStr">
        <is>
          <t>5Y</t>
        </is>
      </c>
      <c r="F87" t="n">
        <v>5</v>
      </c>
      <c r="G87" t="inlineStr">
        <is>
          <t>EUR5Y BGN Curncy</t>
        </is>
      </c>
      <c r="H87" t="inlineStr">
        <is>
          <t>PX_LAST</t>
        </is>
      </c>
      <c r="I87" t="inlineStr">
        <is>
          <t>rate</t>
        </is>
      </c>
      <c r="J87" s="8">
        <f>IFERROR(INDEX(BDH($G$87,$H$87,'01_Parametros'!$B$3,'01_Parametros'!$B$3,"Days=A","Fill=B","Dir=H"),1,2),BDH($G$87,$H$87,'01_Parametros'!$B$3,'01_Parametros'!$B$3,"Days=A","Fill=B"))</f>
        <v/>
      </c>
      <c r="K87" s="8">
        <f>IFERROR(INDEX(BDH($G$87,$H$87,'01_Parametros'!$B$5,'01_Parametros'!$B$5,"Days=A","Fill=B","Dir=H"),1,2),BDH($G$87,$H$87,'01_Parametros'!$B$5,'01_Parametros'!$B$5,"Days=A","Fill=B"))</f>
        <v/>
      </c>
      <c r="L87" s="8">
        <f>IFERROR(INDEX(BDH($G$87,$H$87,'01_Parametros'!$B$6,'01_Parametros'!$B$6,"Days=A","Fill=B","Dir=H"),1,2),BDH($G$87,$H$87,'01_Parametros'!$B$6,'01_Parametros'!$B$6,"Days=A","Fill=B"))</f>
        <v/>
      </c>
      <c r="M87" s="8">
        <f>IFERROR(INDEX(BDH($G$87,$H$87,'01_Parametros'!$B$7,'01_Parametros'!$B$7,"Days=A","Fill=B","Dir=H"),1,2),BDH($G$87,$H$87,'01_Parametros'!$B$7,'01_Parametros'!$B$7,"Days=A","Fill=B"))</f>
        <v/>
      </c>
      <c r="N87" t="inlineStr">
        <is>
          <t>EUR/USD forward 5Y</t>
        </is>
      </c>
    </row>
    <row r="88">
      <c r="A88" t="n">
        <v>87</v>
      </c>
      <c r="B88" t="inlineStr">
        <is>
          <t>fx_forward</t>
        </is>
      </c>
      <c r="C88" t="inlineStr">
        <is>
          <t>G10</t>
        </is>
      </c>
      <c r="D88" t="inlineStr">
        <is>
          <t>GBPUSD_FWD</t>
        </is>
      </c>
      <c r="E88" t="inlineStr">
        <is>
          <t>1M</t>
        </is>
      </c>
      <c r="F88" t="n">
        <v>0.083</v>
      </c>
      <c r="G88" t="inlineStr">
        <is>
          <t>GBP1M BGN Curncy</t>
        </is>
      </c>
      <c r="H88" t="inlineStr">
        <is>
          <t>PX_LAST</t>
        </is>
      </c>
      <c r="I88" t="inlineStr">
        <is>
          <t>rate</t>
        </is>
      </c>
      <c r="J88" s="8">
        <f>IFERROR(INDEX(BDH($G$88,$H$88,'01_Parametros'!$B$3,'01_Parametros'!$B$3,"Days=A","Fill=B","Dir=H"),1,2),BDH($G$88,$H$88,'01_Parametros'!$B$3,'01_Parametros'!$B$3,"Days=A","Fill=B"))</f>
        <v/>
      </c>
      <c r="K88" s="8">
        <f>IFERROR(INDEX(BDH($G$88,$H$88,'01_Parametros'!$B$5,'01_Parametros'!$B$5,"Days=A","Fill=B","Dir=H"),1,2),BDH($G$88,$H$88,'01_Parametros'!$B$5,'01_Parametros'!$B$5,"Days=A","Fill=B"))</f>
        <v/>
      </c>
      <c r="L88" s="8">
        <f>IFERROR(INDEX(BDH($G$88,$H$88,'01_Parametros'!$B$6,'01_Parametros'!$B$6,"Days=A","Fill=B","Dir=H"),1,2),BDH($G$88,$H$88,'01_Parametros'!$B$6,'01_Parametros'!$B$6,"Days=A","Fill=B"))</f>
        <v/>
      </c>
      <c r="M88" s="8">
        <f>IFERROR(INDEX(BDH($G$88,$H$88,'01_Parametros'!$B$7,'01_Parametros'!$B$7,"Days=A","Fill=B","Dir=H"),1,2),BDH($G$88,$H$88,'01_Parametros'!$B$7,'01_Parametros'!$B$7,"Days=A","Fill=B"))</f>
        <v/>
      </c>
      <c r="N88" t="inlineStr">
        <is>
          <t>GBP/USD forward 1M</t>
        </is>
      </c>
    </row>
    <row r="89">
      <c r="A89" t="n">
        <v>88</v>
      </c>
      <c r="B89" t="inlineStr">
        <is>
          <t>fx_forward</t>
        </is>
      </c>
      <c r="C89" t="inlineStr">
        <is>
          <t>G10</t>
        </is>
      </c>
      <c r="D89" t="inlineStr">
        <is>
          <t>GBPUSD_FWD</t>
        </is>
      </c>
      <c r="E89" t="inlineStr">
        <is>
          <t>3M</t>
        </is>
      </c>
      <c r="F89" t="n">
        <v>0.25</v>
      </c>
      <c r="G89" t="inlineStr">
        <is>
          <t>GBP3M BGN Curncy</t>
        </is>
      </c>
      <c r="H89" t="inlineStr">
        <is>
          <t>PX_LAST</t>
        </is>
      </c>
      <c r="I89" t="inlineStr">
        <is>
          <t>rate</t>
        </is>
      </c>
      <c r="J89" s="8">
        <f>IFERROR(INDEX(BDH($G$89,$H$89,'01_Parametros'!$B$3,'01_Parametros'!$B$3,"Days=A","Fill=B","Dir=H"),1,2),BDH($G$89,$H$89,'01_Parametros'!$B$3,'01_Parametros'!$B$3,"Days=A","Fill=B"))</f>
        <v/>
      </c>
      <c r="K89" s="8">
        <f>IFERROR(INDEX(BDH($G$89,$H$89,'01_Parametros'!$B$5,'01_Parametros'!$B$5,"Days=A","Fill=B","Dir=H"),1,2),BDH($G$89,$H$89,'01_Parametros'!$B$5,'01_Parametros'!$B$5,"Days=A","Fill=B"))</f>
        <v/>
      </c>
      <c r="L89" s="8">
        <f>IFERROR(INDEX(BDH($G$89,$H$89,'01_Parametros'!$B$6,'01_Parametros'!$B$6,"Days=A","Fill=B","Dir=H"),1,2),BDH($G$89,$H$89,'01_Parametros'!$B$6,'01_Parametros'!$B$6,"Days=A","Fill=B"))</f>
        <v/>
      </c>
      <c r="M89" s="8">
        <f>IFERROR(INDEX(BDH($G$89,$H$89,'01_Parametros'!$B$7,'01_Parametros'!$B$7,"Days=A","Fill=B","Dir=H"),1,2),BDH($G$89,$H$89,'01_Parametros'!$B$7,'01_Parametros'!$B$7,"Days=A","Fill=B"))</f>
        <v/>
      </c>
      <c r="N89" t="inlineStr">
        <is>
          <t>GBP/USD forward 3M</t>
        </is>
      </c>
    </row>
    <row r="90">
      <c r="A90" t="n">
        <v>89</v>
      </c>
      <c r="B90" t="inlineStr">
        <is>
          <t>fx_forward</t>
        </is>
      </c>
      <c r="C90" t="inlineStr">
        <is>
          <t>G10</t>
        </is>
      </c>
      <c r="D90" t="inlineStr">
        <is>
          <t>GBPUSD_FWD</t>
        </is>
      </c>
      <c r="E90" t="inlineStr">
        <is>
          <t>6M</t>
        </is>
      </c>
      <c r="F90" t="n">
        <v>0.5</v>
      </c>
      <c r="G90" t="inlineStr">
        <is>
          <t>GBP6M BGN Curncy</t>
        </is>
      </c>
      <c r="H90" t="inlineStr">
        <is>
          <t>PX_LAST</t>
        </is>
      </c>
      <c r="I90" t="inlineStr">
        <is>
          <t>rate</t>
        </is>
      </c>
      <c r="J90" s="8">
        <f>IFERROR(INDEX(BDH($G$90,$H$90,'01_Parametros'!$B$3,'01_Parametros'!$B$3,"Days=A","Fill=B","Dir=H"),1,2),BDH($G$90,$H$90,'01_Parametros'!$B$3,'01_Parametros'!$B$3,"Days=A","Fill=B"))</f>
        <v/>
      </c>
      <c r="K90" s="8">
        <f>IFERROR(INDEX(BDH($G$90,$H$90,'01_Parametros'!$B$5,'01_Parametros'!$B$5,"Days=A","Fill=B","Dir=H"),1,2),BDH($G$90,$H$90,'01_Parametros'!$B$5,'01_Parametros'!$B$5,"Days=A","Fill=B"))</f>
        <v/>
      </c>
      <c r="L90" s="8">
        <f>IFERROR(INDEX(BDH($G$90,$H$90,'01_Parametros'!$B$6,'01_Parametros'!$B$6,"Days=A","Fill=B","Dir=H"),1,2),BDH($G$90,$H$90,'01_Parametros'!$B$6,'01_Parametros'!$B$6,"Days=A","Fill=B"))</f>
        <v/>
      </c>
      <c r="M90" s="8">
        <f>IFERROR(INDEX(BDH($G$90,$H$90,'01_Parametros'!$B$7,'01_Parametros'!$B$7,"Days=A","Fill=B","Dir=H"),1,2),BDH($G$90,$H$90,'01_Parametros'!$B$7,'01_Parametros'!$B$7,"Days=A","Fill=B"))</f>
        <v/>
      </c>
      <c r="N90" t="inlineStr">
        <is>
          <t>GBP/USD forward 6M</t>
        </is>
      </c>
    </row>
    <row r="91">
      <c r="A91" t="n">
        <v>90</v>
      </c>
      <c r="B91" t="inlineStr">
        <is>
          <t>fx_forward</t>
        </is>
      </c>
      <c r="C91" t="inlineStr">
        <is>
          <t>G10</t>
        </is>
      </c>
      <c r="D91" t="inlineStr">
        <is>
          <t>GBPUSD_FWD</t>
        </is>
      </c>
      <c r="E91" t="inlineStr">
        <is>
          <t>1Y</t>
        </is>
      </c>
      <c r="F91" t="n">
        <v>1</v>
      </c>
      <c r="G91" t="inlineStr">
        <is>
          <t>GBP12M BGN Curncy</t>
        </is>
      </c>
      <c r="H91" t="inlineStr">
        <is>
          <t>PX_LAST</t>
        </is>
      </c>
      <c r="I91" t="inlineStr">
        <is>
          <t>rate</t>
        </is>
      </c>
      <c r="J91" s="8">
        <f>IFERROR(INDEX(BDH($G$91,$H$91,'01_Parametros'!$B$3,'01_Parametros'!$B$3,"Days=A","Fill=B","Dir=H"),1,2),BDH($G$91,$H$91,'01_Parametros'!$B$3,'01_Parametros'!$B$3,"Days=A","Fill=B"))</f>
        <v/>
      </c>
      <c r="K91" s="8">
        <f>IFERROR(INDEX(BDH($G$91,$H$91,'01_Parametros'!$B$5,'01_Parametros'!$B$5,"Days=A","Fill=B","Dir=H"),1,2),BDH($G$91,$H$91,'01_Parametros'!$B$5,'01_Parametros'!$B$5,"Days=A","Fill=B"))</f>
        <v/>
      </c>
      <c r="L91" s="8">
        <f>IFERROR(INDEX(BDH($G$91,$H$91,'01_Parametros'!$B$6,'01_Parametros'!$B$6,"Days=A","Fill=B","Dir=H"),1,2),BDH($G$91,$H$91,'01_Parametros'!$B$6,'01_Parametros'!$B$6,"Days=A","Fill=B"))</f>
        <v/>
      </c>
      <c r="M91" s="8">
        <f>IFERROR(INDEX(BDH($G$91,$H$91,'01_Parametros'!$B$7,'01_Parametros'!$B$7,"Days=A","Fill=B","Dir=H"),1,2),BDH($G$91,$H$91,'01_Parametros'!$B$7,'01_Parametros'!$B$7,"Days=A","Fill=B"))</f>
        <v/>
      </c>
      <c r="N91" t="inlineStr">
        <is>
          <t>GBP/USD forward 1Y</t>
        </is>
      </c>
    </row>
    <row r="92">
      <c r="A92" t="n">
        <v>91</v>
      </c>
      <c r="B92" t="inlineStr">
        <is>
          <t>fx_forward</t>
        </is>
      </c>
      <c r="C92" t="inlineStr">
        <is>
          <t>G10</t>
        </is>
      </c>
      <c r="D92" t="inlineStr">
        <is>
          <t>GBPUSD_FWD</t>
        </is>
      </c>
      <c r="E92" t="inlineStr">
        <is>
          <t>2Y</t>
        </is>
      </c>
      <c r="F92" t="n">
        <v>2</v>
      </c>
      <c r="G92" t="inlineStr">
        <is>
          <t>GBP2Y BGN Curncy</t>
        </is>
      </c>
      <c r="H92" t="inlineStr">
        <is>
          <t>PX_LAST</t>
        </is>
      </c>
      <c r="I92" t="inlineStr">
        <is>
          <t>rate</t>
        </is>
      </c>
      <c r="J92" s="8">
        <f>IFERROR(INDEX(BDH($G$92,$H$92,'01_Parametros'!$B$3,'01_Parametros'!$B$3,"Days=A","Fill=B","Dir=H"),1,2),BDH($G$92,$H$92,'01_Parametros'!$B$3,'01_Parametros'!$B$3,"Days=A","Fill=B"))</f>
        <v/>
      </c>
      <c r="K92" s="8">
        <f>IFERROR(INDEX(BDH($G$92,$H$92,'01_Parametros'!$B$5,'01_Parametros'!$B$5,"Days=A","Fill=B","Dir=H"),1,2),BDH($G$92,$H$92,'01_Parametros'!$B$5,'01_Parametros'!$B$5,"Days=A","Fill=B"))</f>
        <v/>
      </c>
      <c r="L92" s="8">
        <f>IFERROR(INDEX(BDH($G$92,$H$92,'01_Parametros'!$B$6,'01_Parametros'!$B$6,"Days=A","Fill=B","Dir=H"),1,2),BDH($G$92,$H$92,'01_Parametros'!$B$6,'01_Parametros'!$B$6,"Days=A","Fill=B"))</f>
        <v/>
      </c>
      <c r="M92" s="8">
        <f>IFERROR(INDEX(BDH($G$92,$H$92,'01_Parametros'!$B$7,'01_Parametros'!$B$7,"Days=A","Fill=B","Dir=H"),1,2),BDH($G$92,$H$92,'01_Parametros'!$B$7,'01_Parametros'!$B$7,"Days=A","Fill=B"))</f>
        <v/>
      </c>
      <c r="N92" t="inlineStr">
        <is>
          <t>GBP/USD forward 2Y</t>
        </is>
      </c>
    </row>
    <row r="93">
      <c r="A93" t="n">
        <v>92</v>
      </c>
      <c r="B93" t="inlineStr">
        <is>
          <t>fx_forward</t>
        </is>
      </c>
      <c r="C93" t="inlineStr">
        <is>
          <t>G10</t>
        </is>
      </c>
      <c r="D93" t="inlineStr">
        <is>
          <t>GBPUSD_FWD</t>
        </is>
      </c>
      <c r="E93" t="inlineStr">
        <is>
          <t>3Y</t>
        </is>
      </c>
      <c r="F93" t="n">
        <v>3</v>
      </c>
      <c r="G93" t="inlineStr">
        <is>
          <t>GBP3Y BGN Curncy</t>
        </is>
      </c>
      <c r="H93" t="inlineStr">
        <is>
          <t>PX_LAST</t>
        </is>
      </c>
      <c r="I93" t="inlineStr">
        <is>
          <t>rate</t>
        </is>
      </c>
      <c r="J93" s="8">
        <f>IFERROR(INDEX(BDH($G$93,$H$93,'01_Parametros'!$B$3,'01_Parametros'!$B$3,"Days=A","Fill=B","Dir=H"),1,2),BDH($G$93,$H$93,'01_Parametros'!$B$3,'01_Parametros'!$B$3,"Days=A","Fill=B"))</f>
        <v/>
      </c>
      <c r="K93" s="8">
        <f>IFERROR(INDEX(BDH($G$93,$H$93,'01_Parametros'!$B$5,'01_Parametros'!$B$5,"Days=A","Fill=B","Dir=H"),1,2),BDH($G$93,$H$93,'01_Parametros'!$B$5,'01_Parametros'!$B$5,"Days=A","Fill=B"))</f>
        <v/>
      </c>
      <c r="L93" s="8">
        <f>IFERROR(INDEX(BDH($G$93,$H$93,'01_Parametros'!$B$6,'01_Parametros'!$B$6,"Days=A","Fill=B","Dir=H"),1,2),BDH($G$93,$H$93,'01_Parametros'!$B$6,'01_Parametros'!$B$6,"Days=A","Fill=B"))</f>
        <v/>
      </c>
      <c r="M93" s="8">
        <f>IFERROR(INDEX(BDH($G$93,$H$93,'01_Parametros'!$B$7,'01_Parametros'!$B$7,"Days=A","Fill=B","Dir=H"),1,2),BDH($G$93,$H$93,'01_Parametros'!$B$7,'01_Parametros'!$B$7,"Days=A","Fill=B"))</f>
        <v/>
      </c>
      <c r="N93" t="inlineStr">
        <is>
          <t>GBP/USD forward 3Y</t>
        </is>
      </c>
    </row>
    <row r="94">
      <c r="A94" t="n">
        <v>93</v>
      </c>
      <c r="B94" t="inlineStr">
        <is>
          <t>fx_forward</t>
        </is>
      </c>
      <c r="C94" t="inlineStr">
        <is>
          <t>G10</t>
        </is>
      </c>
      <c r="D94" t="inlineStr">
        <is>
          <t>GBPUSD_FWD</t>
        </is>
      </c>
      <c r="E94" t="inlineStr">
        <is>
          <t>4Y</t>
        </is>
      </c>
      <c r="F94" t="n">
        <v>4</v>
      </c>
      <c r="G94" t="inlineStr">
        <is>
          <t>GBP4Y BGN Curncy</t>
        </is>
      </c>
      <c r="H94" t="inlineStr">
        <is>
          <t>PX_LAST</t>
        </is>
      </c>
      <c r="I94" t="inlineStr">
        <is>
          <t>rate</t>
        </is>
      </c>
      <c r="J94" s="8">
        <f>IFERROR(INDEX(BDH($G$94,$H$94,'01_Parametros'!$B$3,'01_Parametros'!$B$3,"Days=A","Fill=B","Dir=H"),1,2),BDH($G$94,$H$94,'01_Parametros'!$B$3,'01_Parametros'!$B$3,"Days=A","Fill=B"))</f>
        <v/>
      </c>
      <c r="K94" s="8">
        <f>IFERROR(INDEX(BDH($G$94,$H$94,'01_Parametros'!$B$5,'01_Parametros'!$B$5,"Days=A","Fill=B","Dir=H"),1,2),BDH($G$94,$H$94,'01_Parametros'!$B$5,'01_Parametros'!$B$5,"Days=A","Fill=B"))</f>
        <v/>
      </c>
      <c r="L94" s="8">
        <f>IFERROR(INDEX(BDH($G$94,$H$94,'01_Parametros'!$B$6,'01_Parametros'!$B$6,"Days=A","Fill=B","Dir=H"),1,2),BDH($G$94,$H$94,'01_Parametros'!$B$6,'01_Parametros'!$B$6,"Days=A","Fill=B"))</f>
        <v/>
      </c>
      <c r="M94" s="8">
        <f>IFERROR(INDEX(BDH($G$94,$H$94,'01_Parametros'!$B$7,'01_Parametros'!$B$7,"Days=A","Fill=B","Dir=H"),1,2),BDH($G$94,$H$94,'01_Parametros'!$B$7,'01_Parametros'!$B$7,"Days=A","Fill=B"))</f>
        <v/>
      </c>
      <c r="N94" t="inlineStr">
        <is>
          <t>GBP/USD forward 4Y</t>
        </is>
      </c>
    </row>
    <row r="95">
      <c r="A95" t="n">
        <v>94</v>
      </c>
      <c r="B95" t="inlineStr">
        <is>
          <t>fx_forward</t>
        </is>
      </c>
      <c r="C95" t="inlineStr">
        <is>
          <t>G10</t>
        </is>
      </c>
      <c r="D95" t="inlineStr">
        <is>
          <t>GBPUSD_FWD</t>
        </is>
      </c>
      <c r="E95" t="inlineStr">
        <is>
          <t>5Y</t>
        </is>
      </c>
      <c r="F95" t="n">
        <v>5</v>
      </c>
      <c r="G95" t="inlineStr">
        <is>
          <t>GBP5Y BGN Curncy</t>
        </is>
      </c>
      <c r="H95" t="inlineStr">
        <is>
          <t>PX_LAST</t>
        </is>
      </c>
      <c r="I95" t="inlineStr">
        <is>
          <t>rate</t>
        </is>
      </c>
      <c r="J95" s="8">
        <f>IFERROR(INDEX(BDH($G$95,$H$95,'01_Parametros'!$B$3,'01_Parametros'!$B$3,"Days=A","Fill=B","Dir=H"),1,2),BDH($G$95,$H$95,'01_Parametros'!$B$3,'01_Parametros'!$B$3,"Days=A","Fill=B"))</f>
        <v/>
      </c>
      <c r="K95" s="8">
        <f>IFERROR(INDEX(BDH($G$95,$H$95,'01_Parametros'!$B$5,'01_Parametros'!$B$5,"Days=A","Fill=B","Dir=H"),1,2),BDH($G$95,$H$95,'01_Parametros'!$B$5,'01_Parametros'!$B$5,"Days=A","Fill=B"))</f>
        <v/>
      </c>
      <c r="L95" s="8">
        <f>IFERROR(INDEX(BDH($G$95,$H$95,'01_Parametros'!$B$6,'01_Parametros'!$B$6,"Days=A","Fill=B","Dir=H"),1,2),BDH($G$95,$H$95,'01_Parametros'!$B$6,'01_Parametros'!$B$6,"Days=A","Fill=B"))</f>
        <v/>
      </c>
      <c r="M95" s="8">
        <f>IFERROR(INDEX(BDH($G$95,$H$95,'01_Parametros'!$B$7,'01_Parametros'!$B$7,"Days=A","Fill=B","Dir=H"),1,2),BDH($G$95,$H$95,'01_Parametros'!$B$7,'01_Parametros'!$B$7,"Days=A","Fill=B"))</f>
        <v/>
      </c>
      <c r="N95" t="inlineStr">
        <is>
          <t>GBP/USD forward 5Y</t>
        </is>
      </c>
    </row>
    <row r="96">
      <c r="A96" t="n">
        <v>95</v>
      </c>
      <c r="B96" t="inlineStr">
        <is>
          <t>fx_forward</t>
        </is>
      </c>
      <c r="C96" t="inlineStr">
        <is>
          <t>G10</t>
        </is>
      </c>
      <c r="D96" t="inlineStr">
        <is>
          <t>USDJPY_FWD</t>
        </is>
      </c>
      <c r="E96" t="inlineStr">
        <is>
          <t>1M</t>
        </is>
      </c>
      <c r="F96" t="n">
        <v>0.083</v>
      </c>
      <c r="G96" t="inlineStr">
        <is>
          <t>JPY1M BGN Curncy</t>
        </is>
      </c>
      <c r="H96" t="inlineStr">
        <is>
          <t>PX_LAST</t>
        </is>
      </c>
      <c r="I96" t="inlineStr">
        <is>
          <t>rate</t>
        </is>
      </c>
      <c r="J96" s="8">
        <f>IFERROR(INDEX(BDH($G$96,$H$96,'01_Parametros'!$B$3,'01_Parametros'!$B$3,"Days=A","Fill=B","Dir=H"),1,2),BDH($G$96,$H$96,'01_Parametros'!$B$3,'01_Parametros'!$B$3,"Days=A","Fill=B"))</f>
        <v/>
      </c>
      <c r="K96" s="8">
        <f>IFERROR(INDEX(BDH($G$96,$H$96,'01_Parametros'!$B$5,'01_Parametros'!$B$5,"Days=A","Fill=B","Dir=H"),1,2),BDH($G$96,$H$96,'01_Parametros'!$B$5,'01_Parametros'!$B$5,"Days=A","Fill=B"))</f>
        <v/>
      </c>
      <c r="L96" s="8">
        <f>IFERROR(INDEX(BDH($G$96,$H$96,'01_Parametros'!$B$6,'01_Parametros'!$B$6,"Days=A","Fill=B","Dir=H"),1,2),BDH($G$96,$H$96,'01_Parametros'!$B$6,'01_Parametros'!$B$6,"Days=A","Fill=B"))</f>
        <v/>
      </c>
      <c r="M96" s="8">
        <f>IFERROR(INDEX(BDH($G$96,$H$96,'01_Parametros'!$B$7,'01_Parametros'!$B$7,"Days=A","Fill=B","Dir=H"),1,2),BDH($G$96,$H$96,'01_Parametros'!$B$7,'01_Parametros'!$B$7,"Days=A","Fill=B"))</f>
        <v/>
      </c>
      <c r="N96" t="inlineStr">
        <is>
          <t>USD/JPY forward 1M</t>
        </is>
      </c>
    </row>
    <row r="97">
      <c r="A97" t="n">
        <v>96</v>
      </c>
      <c r="B97" t="inlineStr">
        <is>
          <t>fx_forward</t>
        </is>
      </c>
      <c r="C97" t="inlineStr">
        <is>
          <t>G10</t>
        </is>
      </c>
      <c r="D97" t="inlineStr">
        <is>
          <t>USDJPY_FWD</t>
        </is>
      </c>
      <c r="E97" t="inlineStr">
        <is>
          <t>3M</t>
        </is>
      </c>
      <c r="F97" t="n">
        <v>0.25</v>
      </c>
      <c r="G97" t="inlineStr">
        <is>
          <t>JPY3M BGN Curncy</t>
        </is>
      </c>
      <c r="H97" t="inlineStr">
        <is>
          <t>PX_LAST</t>
        </is>
      </c>
      <c r="I97" t="inlineStr">
        <is>
          <t>rate</t>
        </is>
      </c>
      <c r="J97" s="8">
        <f>IFERROR(INDEX(BDH($G$97,$H$97,'01_Parametros'!$B$3,'01_Parametros'!$B$3,"Days=A","Fill=B","Dir=H"),1,2),BDH($G$97,$H$97,'01_Parametros'!$B$3,'01_Parametros'!$B$3,"Days=A","Fill=B"))</f>
        <v/>
      </c>
      <c r="K97" s="8">
        <f>IFERROR(INDEX(BDH($G$97,$H$97,'01_Parametros'!$B$5,'01_Parametros'!$B$5,"Days=A","Fill=B","Dir=H"),1,2),BDH($G$97,$H$97,'01_Parametros'!$B$5,'01_Parametros'!$B$5,"Days=A","Fill=B"))</f>
        <v/>
      </c>
      <c r="L97" s="8">
        <f>IFERROR(INDEX(BDH($G$97,$H$97,'01_Parametros'!$B$6,'01_Parametros'!$B$6,"Days=A","Fill=B","Dir=H"),1,2),BDH($G$97,$H$97,'01_Parametros'!$B$6,'01_Parametros'!$B$6,"Days=A","Fill=B"))</f>
        <v/>
      </c>
      <c r="M97" s="8">
        <f>IFERROR(INDEX(BDH($G$97,$H$97,'01_Parametros'!$B$7,'01_Parametros'!$B$7,"Days=A","Fill=B","Dir=H"),1,2),BDH($G$97,$H$97,'01_Parametros'!$B$7,'01_Parametros'!$B$7,"Days=A","Fill=B"))</f>
        <v/>
      </c>
      <c r="N97" t="inlineStr">
        <is>
          <t>USD/JPY forward 3M</t>
        </is>
      </c>
    </row>
    <row r="98">
      <c r="A98" t="n">
        <v>97</v>
      </c>
      <c r="B98" t="inlineStr">
        <is>
          <t>fx_forward</t>
        </is>
      </c>
      <c r="C98" t="inlineStr">
        <is>
          <t>G10</t>
        </is>
      </c>
      <c r="D98" t="inlineStr">
        <is>
          <t>USDJPY_FWD</t>
        </is>
      </c>
      <c r="E98" t="inlineStr">
        <is>
          <t>6M</t>
        </is>
      </c>
      <c r="F98" t="n">
        <v>0.5</v>
      </c>
      <c r="G98" t="inlineStr">
        <is>
          <t>JPY6M BGN Curncy</t>
        </is>
      </c>
      <c r="H98" t="inlineStr">
        <is>
          <t>PX_LAST</t>
        </is>
      </c>
      <c r="I98" t="inlineStr">
        <is>
          <t>rate</t>
        </is>
      </c>
      <c r="J98" s="8">
        <f>IFERROR(INDEX(BDH($G$98,$H$98,'01_Parametros'!$B$3,'01_Parametros'!$B$3,"Days=A","Fill=B","Dir=H"),1,2),BDH($G$98,$H$98,'01_Parametros'!$B$3,'01_Parametros'!$B$3,"Days=A","Fill=B"))</f>
        <v/>
      </c>
      <c r="K98" s="8">
        <f>IFERROR(INDEX(BDH($G$98,$H$98,'01_Parametros'!$B$5,'01_Parametros'!$B$5,"Days=A","Fill=B","Dir=H"),1,2),BDH($G$98,$H$98,'01_Parametros'!$B$5,'01_Parametros'!$B$5,"Days=A","Fill=B"))</f>
        <v/>
      </c>
      <c r="L98" s="8">
        <f>IFERROR(INDEX(BDH($G$98,$H$98,'01_Parametros'!$B$6,'01_Parametros'!$B$6,"Days=A","Fill=B","Dir=H"),1,2),BDH($G$98,$H$98,'01_Parametros'!$B$6,'01_Parametros'!$B$6,"Days=A","Fill=B"))</f>
        <v/>
      </c>
      <c r="M98" s="8">
        <f>IFERROR(INDEX(BDH($G$98,$H$98,'01_Parametros'!$B$7,'01_Parametros'!$B$7,"Days=A","Fill=B","Dir=H"),1,2),BDH($G$98,$H$98,'01_Parametros'!$B$7,'01_Parametros'!$B$7,"Days=A","Fill=B"))</f>
        <v/>
      </c>
      <c r="N98" t="inlineStr">
        <is>
          <t>USD/JPY forward 6M</t>
        </is>
      </c>
    </row>
    <row r="99">
      <c r="A99" t="n">
        <v>98</v>
      </c>
      <c r="B99" t="inlineStr">
        <is>
          <t>fx_forward</t>
        </is>
      </c>
      <c r="C99" t="inlineStr">
        <is>
          <t>G10</t>
        </is>
      </c>
      <c r="D99" t="inlineStr">
        <is>
          <t>USDJPY_FWD</t>
        </is>
      </c>
      <c r="E99" t="inlineStr">
        <is>
          <t>1Y</t>
        </is>
      </c>
      <c r="F99" t="n">
        <v>1</v>
      </c>
      <c r="G99" t="inlineStr">
        <is>
          <t>JPY12M BGN Curncy</t>
        </is>
      </c>
      <c r="H99" t="inlineStr">
        <is>
          <t>PX_LAST</t>
        </is>
      </c>
      <c r="I99" t="inlineStr">
        <is>
          <t>rate</t>
        </is>
      </c>
      <c r="J99" s="8">
        <f>IFERROR(INDEX(BDH($G$99,$H$99,'01_Parametros'!$B$3,'01_Parametros'!$B$3,"Days=A","Fill=B","Dir=H"),1,2),BDH($G$99,$H$99,'01_Parametros'!$B$3,'01_Parametros'!$B$3,"Days=A","Fill=B"))</f>
        <v/>
      </c>
      <c r="K99" s="8">
        <f>IFERROR(INDEX(BDH($G$99,$H$99,'01_Parametros'!$B$5,'01_Parametros'!$B$5,"Days=A","Fill=B","Dir=H"),1,2),BDH($G$99,$H$99,'01_Parametros'!$B$5,'01_Parametros'!$B$5,"Days=A","Fill=B"))</f>
        <v/>
      </c>
      <c r="L99" s="8">
        <f>IFERROR(INDEX(BDH($G$99,$H$99,'01_Parametros'!$B$6,'01_Parametros'!$B$6,"Days=A","Fill=B","Dir=H"),1,2),BDH($G$99,$H$99,'01_Parametros'!$B$6,'01_Parametros'!$B$6,"Days=A","Fill=B"))</f>
        <v/>
      </c>
      <c r="M99" s="8">
        <f>IFERROR(INDEX(BDH($G$99,$H$99,'01_Parametros'!$B$7,'01_Parametros'!$B$7,"Days=A","Fill=B","Dir=H"),1,2),BDH($G$99,$H$99,'01_Parametros'!$B$7,'01_Parametros'!$B$7,"Days=A","Fill=B"))</f>
        <v/>
      </c>
      <c r="N99" t="inlineStr">
        <is>
          <t>USD/JPY forward 1Y</t>
        </is>
      </c>
    </row>
    <row r="100">
      <c r="A100" t="n">
        <v>99</v>
      </c>
      <c r="B100" t="inlineStr">
        <is>
          <t>fx_forward</t>
        </is>
      </c>
      <c r="C100" t="inlineStr">
        <is>
          <t>G10</t>
        </is>
      </c>
      <c r="D100" t="inlineStr">
        <is>
          <t>USDJPY_FWD</t>
        </is>
      </c>
      <c r="E100" t="inlineStr">
        <is>
          <t>2Y</t>
        </is>
      </c>
      <c r="F100" t="n">
        <v>2</v>
      </c>
      <c r="G100" t="inlineStr">
        <is>
          <t>JPY2Y BGN Curncy</t>
        </is>
      </c>
      <c r="H100" t="inlineStr">
        <is>
          <t>PX_LAST</t>
        </is>
      </c>
      <c r="I100" t="inlineStr">
        <is>
          <t>rate</t>
        </is>
      </c>
      <c r="J100" s="8">
        <f>IFERROR(INDEX(BDH($G$100,$H$100,'01_Parametros'!$B$3,'01_Parametros'!$B$3,"Days=A","Fill=B","Dir=H"),1,2),BDH($G$100,$H$100,'01_Parametros'!$B$3,'01_Parametros'!$B$3,"Days=A","Fill=B"))</f>
        <v/>
      </c>
      <c r="K100" s="8">
        <f>IFERROR(INDEX(BDH($G$100,$H$100,'01_Parametros'!$B$5,'01_Parametros'!$B$5,"Days=A","Fill=B","Dir=H"),1,2),BDH($G$100,$H$100,'01_Parametros'!$B$5,'01_Parametros'!$B$5,"Days=A","Fill=B"))</f>
        <v/>
      </c>
      <c r="L100" s="8">
        <f>IFERROR(INDEX(BDH($G$100,$H$100,'01_Parametros'!$B$6,'01_Parametros'!$B$6,"Days=A","Fill=B","Dir=H"),1,2),BDH($G$100,$H$100,'01_Parametros'!$B$6,'01_Parametros'!$B$6,"Days=A","Fill=B"))</f>
        <v/>
      </c>
      <c r="M100" s="8">
        <f>IFERROR(INDEX(BDH($G$100,$H$100,'01_Parametros'!$B$7,'01_Parametros'!$B$7,"Days=A","Fill=B","Dir=H"),1,2),BDH($G$100,$H$100,'01_Parametros'!$B$7,'01_Parametros'!$B$7,"Days=A","Fill=B"))</f>
        <v/>
      </c>
      <c r="N100" t="inlineStr">
        <is>
          <t>USD/JPY forward 2Y</t>
        </is>
      </c>
    </row>
    <row r="101">
      <c r="A101" t="n">
        <v>100</v>
      </c>
      <c r="B101" t="inlineStr">
        <is>
          <t>fx_forward</t>
        </is>
      </c>
      <c r="C101" t="inlineStr">
        <is>
          <t>G10</t>
        </is>
      </c>
      <c r="D101" t="inlineStr">
        <is>
          <t>USDJPY_FWD</t>
        </is>
      </c>
      <c r="E101" t="inlineStr">
        <is>
          <t>3Y</t>
        </is>
      </c>
      <c r="F101" t="n">
        <v>3</v>
      </c>
      <c r="G101" t="inlineStr">
        <is>
          <t>JPY3Y BGN Curncy</t>
        </is>
      </c>
      <c r="H101" t="inlineStr">
        <is>
          <t>PX_LAST</t>
        </is>
      </c>
      <c r="I101" t="inlineStr">
        <is>
          <t>rate</t>
        </is>
      </c>
      <c r="J101" s="8">
        <f>IFERROR(INDEX(BDH($G$101,$H$101,'01_Parametros'!$B$3,'01_Parametros'!$B$3,"Days=A","Fill=B","Dir=H"),1,2),BDH($G$101,$H$101,'01_Parametros'!$B$3,'01_Parametros'!$B$3,"Days=A","Fill=B"))</f>
        <v/>
      </c>
      <c r="K101" s="8">
        <f>IFERROR(INDEX(BDH($G$101,$H$101,'01_Parametros'!$B$5,'01_Parametros'!$B$5,"Days=A","Fill=B","Dir=H"),1,2),BDH($G$101,$H$101,'01_Parametros'!$B$5,'01_Parametros'!$B$5,"Days=A","Fill=B"))</f>
        <v/>
      </c>
      <c r="L101" s="8">
        <f>IFERROR(INDEX(BDH($G$101,$H$101,'01_Parametros'!$B$6,'01_Parametros'!$B$6,"Days=A","Fill=B","Dir=H"),1,2),BDH($G$101,$H$101,'01_Parametros'!$B$6,'01_Parametros'!$B$6,"Days=A","Fill=B"))</f>
        <v/>
      </c>
      <c r="M101" s="8">
        <f>IFERROR(INDEX(BDH($G$101,$H$101,'01_Parametros'!$B$7,'01_Parametros'!$B$7,"Days=A","Fill=B","Dir=H"),1,2),BDH($G$101,$H$101,'01_Parametros'!$B$7,'01_Parametros'!$B$7,"Days=A","Fill=B"))</f>
        <v/>
      </c>
      <c r="N101" t="inlineStr">
        <is>
          <t>USD/JPY forward 3Y</t>
        </is>
      </c>
    </row>
    <row r="102">
      <c r="A102" t="n">
        <v>101</v>
      </c>
      <c r="B102" t="inlineStr">
        <is>
          <t>fx_forward</t>
        </is>
      </c>
      <c r="C102" t="inlineStr">
        <is>
          <t>G10</t>
        </is>
      </c>
      <c r="D102" t="inlineStr">
        <is>
          <t>USDJPY_FWD</t>
        </is>
      </c>
      <c r="E102" t="inlineStr">
        <is>
          <t>4Y</t>
        </is>
      </c>
      <c r="F102" t="n">
        <v>4</v>
      </c>
      <c r="G102" t="inlineStr">
        <is>
          <t>JPY4Y BGN Curncy</t>
        </is>
      </c>
      <c r="H102" t="inlineStr">
        <is>
          <t>PX_LAST</t>
        </is>
      </c>
      <c r="I102" t="inlineStr">
        <is>
          <t>rate</t>
        </is>
      </c>
      <c r="J102" s="8">
        <f>IFERROR(INDEX(BDH($G$102,$H$102,'01_Parametros'!$B$3,'01_Parametros'!$B$3,"Days=A","Fill=B","Dir=H"),1,2),BDH($G$102,$H$102,'01_Parametros'!$B$3,'01_Parametros'!$B$3,"Days=A","Fill=B"))</f>
        <v/>
      </c>
      <c r="K102" s="8">
        <f>IFERROR(INDEX(BDH($G$102,$H$102,'01_Parametros'!$B$5,'01_Parametros'!$B$5,"Days=A","Fill=B","Dir=H"),1,2),BDH($G$102,$H$102,'01_Parametros'!$B$5,'01_Parametros'!$B$5,"Days=A","Fill=B"))</f>
        <v/>
      </c>
      <c r="L102" s="8">
        <f>IFERROR(INDEX(BDH($G$102,$H$102,'01_Parametros'!$B$6,'01_Parametros'!$B$6,"Days=A","Fill=B","Dir=H"),1,2),BDH($G$102,$H$102,'01_Parametros'!$B$6,'01_Parametros'!$B$6,"Days=A","Fill=B"))</f>
        <v/>
      </c>
      <c r="M102" s="8">
        <f>IFERROR(INDEX(BDH($G$102,$H$102,'01_Parametros'!$B$7,'01_Parametros'!$B$7,"Days=A","Fill=B","Dir=H"),1,2),BDH($G$102,$H$102,'01_Parametros'!$B$7,'01_Parametros'!$B$7,"Days=A","Fill=B"))</f>
        <v/>
      </c>
      <c r="N102" t="inlineStr">
        <is>
          <t>USD/JPY forward 4Y</t>
        </is>
      </c>
    </row>
    <row r="103">
      <c r="A103" t="n">
        <v>102</v>
      </c>
      <c r="B103" t="inlineStr">
        <is>
          <t>fx_forward</t>
        </is>
      </c>
      <c r="C103" t="inlineStr">
        <is>
          <t>G10</t>
        </is>
      </c>
      <c r="D103" t="inlineStr">
        <is>
          <t>USDJPY_FWD</t>
        </is>
      </c>
      <c r="E103" t="inlineStr">
        <is>
          <t>5Y</t>
        </is>
      </c>
      <c r="F103" t="n">
        <v>5</v>
      </c>
      <c r="G103" t="inlineStr">
        <is>
          <t>JPY5Y BGN Curncy</t>
        </is>
      </c>
      <c r="H103" t="inlineStr">
        <is>
          <t>PX_LAST</t>
        </is>
      </c>
      <c r="I103" t="inlineStr">
        <is>
          <t>rate</t>
        </is>
      </c>
      <c r="J103" s="8">
        <f>IFERROR(INDEX(BDH($G$103,$H$103,'01_Parametros'!$B$3,'01_Parametros'!$B$3,"Days=A","Fill=B","Dir=H"),1,2),BDH($G$103,$H$103,'01_Parametros'!$B$3,'01_Parametros'!$B$3,"Days=A","Fill=B"))</f>
        <v/>
      </c>
      <c r="K103" s="8">
        <f>IFERROR(INDEX(BDH($G$103,$H$103,'01_Parametros'!$B$5,'01_Parametros'!$B$5,"Days=A","Fill=B","Dir=H"),1,2),BDH($G$103,$H$103,'01_Parametros'!$B$5,'01_Parametros'!$B$5,"Days=A","Fill=B"))</f>
        <v/>
      </c>
      <c r="L103" s="8">
        <f>IFERROR(INDEX(BDH($G$103,$H$103,'01_Parametros'!$B$6,'01_Parametros'!$B$6,"Days=A","Fill=B","Dir=H"),1,2),BDH($G$103,$H$103,'01_Parametros'!$B$6,'01_Parametros'!$B$6,"Days=A","Fill=B"))</f>
        <v/>
      </c>
      <c r="M103" s="8">
        <f>IFERROR(INDEX(BDH($G$103,$H$103,'01_Parametros'!$B$7,'01_Parametros'!$B$7,"Days=A","Fill=B","Dir=H"),1,2),BDH($G$103,$H$103,'01_Parametros'!$B$7,'01_Parametros'!$B$7,"Days=A","Fill=B"))</f>
        <v/>
      </c>
      <c r="N103" t="inlineStr">
        <is>
          <t>USD/JPY forward 5Y</t>
        </is>
      </c>
    </row>
    <row r="104">
      <c r="A104" t="n">
        <v>103</v>
      </c>
      <c r="B104" t="inlineStr">
        <is>
          <t>fx_forward</t>
        </is>
      </c>
      <c r="C104" t="inlineStr">
        <is>
          <t>G10</t>
        </is>
      </c>
      <c r="D104" t="inlineStr">
        <is>
          <t>USDCHF_FWD</t>
        </is>
      </c>
      <c r="E104" t="inlineStr">
        <is>
          <t>1M</t>
        </is>
      </c>
      <c r="F104" t="n">
        <v>0.083</v>
      </c>
      <c r="G104" t="inlineStr">
        <is>
          <t>CHF1M BGN Curncy</t>
        </is>
      </c>
      <c r="H104" t="inlineStr">
        <is>
          <t>PX_LAST</t>
        </is>
      </c>
      <c r="I104" t="inlineStr">
        <is>
          <t>rate</t>
        </is>
      </c>
      <c r="J104" s="8">
        <f>IFERROR(INDEX(BDH($G$104,$H$104,'01_Parametros'!$B$3,'01_Parametros'!$B$3,"Days=A","Fill=B","Dir=H"),1,2),BDH($G$104,$H$104,'01_Parametros'!$B$3,'01_Parametros'!$B$3,"Days=A","Fill=B"))</f>
        <v/>
      </c>
      <c r="K104" s="8">
        <f>IFERROR(INDEX(BDH($G$104,$H$104,'01_Parametros'!$B$5,'01_Parametros'!$B$5,"Days=A","Fill=B","Dir=H"),1,2),BDH($G$104,$H$104,'01_Parametros'!$B$5,'01_Parametros'!$B$5,"Days=A","Fill=B"))</f>
        <v/>
      </c>
      <c r="L104" s="8">
        <f>IFERROR(INDEX(BDH($G$104,$H$104,'01_Parametros'!$B$6,'01_Parametros'!$B$6,"Days=A","Fill=B","Dir=H"),1,2),BDH($G$104,$H$104,'01_Parametros'!$B$6,'01_Parametros'!$B$6,"Days=A","Fill=B"))</f>
        <v/>
      </c>
      <c r="M104" s="8">
        <f>IFERROR(INDEX(BDH($G$104,$H$104,'01_Parametros'!$B$7,'01_Parametros'!$B$7,"Days=A","Fill=B","Dir=H"),1,2),BDH($G$104,$H$104,'01_Parametros'!$B$7,'01_Parametros'!$B$7,"Days=A","Fill=B"))</f>
        <v/>
      </c>
      <c r="N104" t="inlineStr">
        <is>
          <t>USD/CHF forward 1M</t>
        </is>
      </c>
    </row>
    <row r="105">
      <c r="A105" t="n">
        <v>104</v>
      </c>
      <c r="B105" t="inlineStr">
        <is>
          <t>fx_forward</t>
        </is>
      </c>
      <c r="C105" t="inlineStr">
        <is>
          <t>G10</t>
        </is>
      </c>
      <c r="D105" t="inlineStr">
        <is>
          <t>USDCHF_FWD</t>
        </is>
      </c>
      <c r="E105" t="inlineStr">
        <is>
          <t>3M</t>
        </is>
      </c>
      <c r="F105" t="n">
        <v>0.25</v>
      </c>
      <c r="G105" t="inlineStr">
        <is>
          <t>CHF3M BGN Curncy</t>
        </is>
      </c>
      <c r="H105" t="inlineStr">
        <is>
          <t>PX_LAST</t>
        </is>
      </c>
      <c r="I105" t="inlineStr">
        <is>
          <t>rate</t>
        </is>
      </c>
      <c r="J105" s="8">
        <f>IFERROR(INDEX(BDH($G$105,$H$105,'01_Parametros'!$B$3,'01_Parametros'!$B$3,"Days=A","Fill=B","Dir=H"),1,2),BDH($G$105,$H$105,'01_Parametros'!$B$3,'01_Parametros'!$B$3,"Days=A","Fill=B"))</f>
        <v/>
      </c>
      <c r="K105" s="8">
        <f>IFERROR(INDEX(BDH($G$105,$H$105,'01_Parametros'!$B$5,'01_Parametros'!$B$5,"Days=A","Fill=B","Dir=H"),1,2),BDH($G$105,$H$105,'01_Parametros'!$B$5,'01_Parametros'!$B$5,"Days=A","Fill=B"))</f>
        <v/>
      </c>
      <c r="L105" s="8">
        <f>IFERROR(INDEX(BDH($G$105,$H$105,'01_Parametros'!$B$6,'01_Parametros'!$B$6,"Days=A","Fill=B","Dir=H"),1,2),BDH($G$105,$H$105,'01_Parametros'!$B$6,'01_Parametros'!$B$6,"Days=A","Fill=B"))</f>
        <v/>
      </c>
      <c r="M105" s="8">
        <f>IFERROR(INDEX(BDH($G$105,$H$105,'01_Parametros'!$B$7,'01_Parametros'!$B$7,"Days=A","Fill=B","Dir=H"),1,2),BDH($G$105,$H$105,'01_Parametros'!$B$7,'01_Parametros'!$B$7,"Days=A","Fill=B"))</f>
        <v/>
      </c>
      <c r="N105" t="inlineStr">
        <is>
          <t>USD/CHF forward 3M</t>
        </is>
      </c>
    </row>
    <row r="106">
      <c r="A106" t="n">
        <v>105</v>
      </c>
      <c r="B106" t="inlineStr">
        <is>
          <t>fx_forward</t>
        </is>
      </c>
      <c r="C106" t="inlineStr">
        <is>
          <t>G10</t>
        </is>
      </c>
      <c r="D106" t="inlineStr">
        <is>
          <t>USDCHF_FWD</t>
        </is>
      </c>
      <c r="E106" t="inlineStr">
        <is>
          <t>6M</t>
        </is>
      </c>
      <c r="F106" t="n">
        <v>0.5</v>
      </c>
      <c r="G106" t="inlineStr">
        <is>
          <t>CHF6M BGN Curncy</t>
        </is>
      </c>
      <c r="H106" t="inlineStr">
        <is>
          <t>PX_LAST</t>
        </is>
      </c>
      <c r="I106" t="inlineStr">
        <is>
          <t>rate</t>
        </is>
      </c>
      <c r="J106" s="8">
        <f>IFERROR(INDEX(BDH($G$106,$H$106,'01_Parametros'!$B$3,'01_Parametros'!$B$3,"Days=A","Fill=B","Dir=H"),1,2),BDH($G$106,$H$106,'01_Parametros'!$B$3,'01_Parametros'!$B$3,"Days=A","Fill=B"))</f>
        <v/>
      </c>
      <c r="K106" s="8">
        <f>IFERROR(INDEX(BDH($G$106,$H$106,'01_Parametros'!$B$5,'01_Parametros'!$B$5,"Days=A","Fill=B","Dir=H"),1,2),BDH($G$106,$H$106,'01_Parametros'!$B$5,'01_Parametros'!$B$5,"Days=A","Fill=B"))</f>
        <v/>
      </c>
      <c r="L106" s="8">
        <f>IFERROR(INDEX(BDH($G$106,$H$106,'01_Parametros'!$B$6,'01_Parametros'!$B$6,"Days=A","Fill=B","Dir=H"),1,2),BDH($G$106,$H$106,'01_Parametros'!$B$6,'01_Parametros'!$B$6,"Days=A","Fill=B"))</f>
        <v/>
      </c>
      <c r="M106" s="8">
        <f>IFERROR(INDEX(BDH($G$106,$H$106,'01_Parametros'!$B$7,'01_Parametros'!$B$7,"Days=A","Fill=B","Dir=H"),1,2),BDH($G$106,$H$106,'01_Parametros'!$B$7,'01_Parametros'!$B$7,"Days=A","Fill=B"))</f>
        <v/>
      </c>
      <c r="N106" t="inlineStr">
        <is>
          <t>USD/CHF forward 6M</t>
        </is>
      </c>
    </row>
    <row r="107">
      <c r="A107" t="n">
        <v>106</v>
      </c>
      <c r="B107" t="inlineStr">
        <is>
          <t>fx_forward</t>
        </is>
      </c>
      <c r="C107" t="inlineStr">
        <is>
          <t>G10</t>
        </is>
      </c>
      <c r="D107" t="inlineStr">
        <is>
          <t>USDCHF_FWD</t>
        </is>
      </c>
      <c r="E107" t="inlineStr">
        <is>
          <t>1Y</t>
        </is>
      </c>
      <c r="F107" t="n">
        <v>1</v>
      </c>
      <c r="G107" t="inlineStr">
        <is>
          <t>CHF12M BGN Curncy</t>
        </is>
      </c>
      <c r="H107" t="inlineStr">
        <is>
          <t>PX_LAST</t>
        </is>
      </c>
      <c r="I107" t="inlineStr">
        <is>
          <t>rate</t>
        </is>
      </c>
      <c r="J107" s="8">
        <f>IFERROR(INDEX(BDH($G$107,$H$107,'01_Parametros'!$B$3,'01_Parametros'!$B$3,"Days=A","Fill=B","Dir=H"),1,2),BDH($G$107,$H$107,'01_Parametros'!$B$3,'01_Parametros'!$B$3,"Days=A","Fill=B"))</f>
        <v/>
      </c>
      <c r="K107" s="8">
        <f>IFERROR(INDEX(BDH($G$107,$H$107,'01_Parametros'!$B$5,'01_Parametros'!$B$5,"Days=A","Fill=B","Dir=H"),1,2),BDH($G$107,$H$107,'01_Parametros'!$B$5,'01_Parametros'!$B$5,"Days=A","Fill=B"))</f>
        <v/>
      </c>
      <c r="L107" s="8">
        <f>IFERROR(INDEX(BDH($G$107,$H$107,'01_Parametros'!$B$6,'01_Parametros'!$B$6,"Days=A","Fill=B","Dir=H"),1,2),BDH($G$107,$H$107,'01_Parametros'!$B$6,'01_Parametros'!$B$6,"Days=A","Fill=B"))</f>
        <v/>
      </c>
      <c r="M107" s="8">
        <f>IFERROR(INDEX(BDH($G$107,$H$107,'01_Parametros'!$B$7,'01_Parametros'!$B$7,"Days=A","Fill=B","Dir=H"),1,2),BDH($G$107,$H$107,'01_Parametros'!$B$7,'01_Parametros'!$B$7,"Days=A","Fill=B"))</f>
        <v/>
      </c>
      <c r="N107" t="inlineStr">
        <is>
          <t>USD/CHF forward 1Y</t>
        </is>
      </c>
    </row>
    <row r="108">
      <c r="A108" t="n">
        <v>107</v>
      </c>
      <c r="B108" t="inlineStr">
        <is>
          <t>fx_forward</t>
        </is>
      </c>
      <c r="C108" t="inlineStr">
        <is>
          <t>G10</t>
        </is>
      </c>
      <c r="D108" t="inlineStr">
        <is>
          <t>USDCHF_FWD</t>
        </is>
      </c>
      <c r="E108" t="inlineStr">
        <is>
          <t>2Y</t>
        </is>
      </c>
      <c r="F108" t="n">
        <v>2</v>
      </c>
      <c r="G108" t="inlineStr">
        <is>
          <t>CHF2Y BGN Curncy</t>
        </is>
      </c>
      <c r="H108" t="inlineStr">
        <is>
          <t>PX_LAST</t>
        </is>
      </c>
      <c r="I108" t="inlineStr">
        <is>
          <t>rate</t>
        </is>
      </c>
      <c r="J108" s="8">
        <f>IFERROR(INDEX(BDH($G$108,$H$108,'01_Parametros'!$B$3,'01_Parametros'!$B$3,"Days=A","Fill=B","Dir=H"),1,2),BDH($G$108,$H$108,'01_Parametros'!$B$3,'01_Parametros'!$B$3,"Days=A","Fill=B"))</f>
        <v/>
      </c>
      <c r="K108" s="8">
        <f>IFERROR(INDEX(BDH($G$108,$H$108,'01_Parametros'!$B$5,'01_Parametros'!$B$5,"Days=A","Fill=B","Dir=H"),1,2),BDH($G$108,$H$108,'01_Parametros'!$B$5,'01_Parametros'!$B$5,"Days=A","Fill=B"))</f>
        <v/>
      </c>
      <c r="L108" s="8">
        <f>IFERROR(INDEX(BDH($G$108,$H$108,'01_Parametros'!$B$6,'01_Parametros'!$B$6,"Days=A","Fill=B","Dir=H"),1,2),BDH($G$108,$H$108,'01_Parametros'!$B$6,'01_Parametros'!$B$6,"Days=A","Fill=B"))</f>
        <v/>
      </c>
      <c r="M108" s="8">
        <f>IFERROR(INDEX(BDH($G$108,$H$108,'01_Parametros'!$B$7,'01_Parametros'!$B$7,"Days=A","Fill=B","Dir=H"),1,2),BDH($G$108,$H$108,'01_Parametros'!$B$7,'01_Parametros'!$B$7,"Days=A","Fill=B"))</f>
        <v/>
      </c>
      <c r="N108" t="inlineStr">
        <is>
          <t>USD/CHF forward 2Y</t>
        </is>
      </c>
    </row>
    <row r="109">
      <c r="A109" t="n">
        <v>108</v>
      </c>
      <c r="B109" t="inlineStr">
        <is>
          <t>fx_forward</t>
        </is>
      </c>
      <c r="C109" t="inlineStr">
        <is>
          <t>G10</t>
        </is>
      </c>
      <c r="D109" t="inlineStr">
        <is>
          <t>USDCHF_FWD</t>
        </is>
      </c>
      <c r="E109" t="inlineStr">
        <is>
          <t>3Y</t>
        </is>
      </c>
      <c r="F109" t="n">
        <v>3</v>
      </c>
      <c r="G109" t="inlineStr">
        <is>
          <t>CHF3Y BGN Curncy</t>
        </is>
      </c>
      <c r="H109" t="inlineStr">
        <is>
          <t>PX_LAST</t>
        </is>
      </c>
      <c r="I109" t="inlineStr">
        <is>
          <t>rate</t>
        </is>
      </c>
      <c r="J109" s="8">
        <f>IFERROR(INDEX(BDH($G$109,$H$109,'01_Parametros'!$B$3,'01_Parametros'!$B$3,"Days=A","Fill=B","Dir=H"),1,2),BDH($G$109,$H$109,'01_Parametros'!$B$3,'01_Parametros'!$B$3,"Days=A","Fill=B"))</f>
        <v/>
      </c>
      <c r="K109" s="8">
        <f>IFERROR(INDEX(BDH($G$109,$H$109,'01_Parametros'!$B$5,'01_Parametros'!$B$5,"Days=A","Fill=B","Dir=H"),1,2),BDH($G$109,$H$109,'01_Parametros'!$B$5,'01_Parametros'!$B$5,"Days=A","Fill=B"))</f>
        <v/>
      </c>
      <c r="L109" s="8">
        <f>IFERROR(INDEX(BDH($G$109,$H$109,'01_Parametros'!$B$6,'01_Parametros'!$B$6,"Days=A","Fill=B","Dir=H"),1,2),BDH($G$109,$H$109,'01_Parametros'!$B$6,'01_Parametros'!$B$6,"Days=A","Fill=B"))</f>
        <v/>
      </c>
      <c r="M109" s="8">
        <f>IFERROR(INDEX(BDH($G$109,$H$109,'01_Parametros'!$B$7,'01_Parametros'!$B$7,"Days=A","Fill=B","Dir=H"),1,2),BDH($G$109,$H$109,'01_Parametros'!$B$7,'01_Parametros'!$B$7,"Days=A","Fill=B"))</f>
        <v/>
      </c>
      <c r="N109" t="inlineStr">
        <is>
          <t>USD/CHF forward 3Y</t>
        </is>
      </c>
    </row>
    <row r="110">
      <c r="A110" t="n">
        <v>109</v>
      </c>
      <c r="B110" t="inlineStr">
        <is>
          <t>fx_forward</t>
        </is>
      </c>
      <c r="C110" t="inlineStr">
        <is>
          <t>G10</t>
        </is>
      </c>
      <c r="D110" t="inlineStr">
        <is>
          <t>USDCHF_FWD</t>
        </is>
      </c>
      <c r="E110" t="inlineStr">
        <is>
          <t>4Y</t>
        </is>
      </c>
      <c r="F110" t="n">
        <v>4</v>
      </c>
      <c r="G110" t="inlineStr">
        <is>
          <t>CHF4Y BGN Curncy</t>
        </is>
      </c>
      <c r="H110" t="inlineStr">
        <is>
          <t>PX_LAST</t>
        </is>
      </c>
      <c r="I110" t="inlineStr">
        <is>
          <t>rate</t>
        </is>
      </c>
      <c r="J110" s="8">
        <f>IFERROR(INDEX(BDH($G$110,$H$110,'01_Parametros'!$B$3,'01_Parametros'!$B$3,"Days=A","Fill=B","Dir=H"),1,2),BDH($G$110,$H$110,'01_Parametros'!$B$3,'01_Parametros'!$B$3,"Days=A","Fill=B"))</f>
        <v/>
      </c>
      <c r="K110" s="8">
        <f>IFERROR(INDEX(BDH($G$110,$H$110,'01_Parametros'!$B$5,'01_Parametros'!$B$5,"Days=A","Fill=B","Dir=H"),1,2),BDH($G$110,$H$110,'01_Parametros'!$B$5,'01_Parametros'!$B$5,"Days=A","Fill=B"))</f>
        <v/>
      </c>
      <c r="L110" s="8">
        <f>IFERROR(INDEX(BDH($G$110,$H$110,'01_Parametros'!$B$6,'01_Parametros'!$B$6,"Days=A","Fill=B","Dir=H"),1,2),BDH($G$110,$H$110,'01_Parametros'!$B$6,'01_Parametros'!$B$6,"Days=A","Fill=B"))</f>
        <v/>
      </c>
      <c r="M110" s="8">
        <f>IFERROR(INDEX(BDH($G$110,$H$110,'01_Parametros'!$B$7,'01_Parametros'!$B$7,"Days=A","Fill=B","Dir=H"),1,2),BDH($G$110,$H$110,'01_Parametros'!$B$7,'01_Parametros'!$B$7,"Days=A","Fill=B"))</f>
        <v/>
      </c>
      <c r="N110" t="inlineStr">
        <is>
          <t>USD/CHF forward 4Y</t>
        </is>
      </c>
    </row>
    <row r="111">
      <c r="A111" t="n">
        <v>110</v>
      </c>
      <c r="B111" t="inlineStr">
        <is>
          <t>fx_forward</t>
        </is>
      </c>
      <c r="C111" t="inlineStr">
        <is>
          <t>G10</t>
        </is>
      </c>
      <c r="D111" t="inlineStr">
        <is>
          <t>USDCHF_FWD</t>
        </is>
      </c>
      <c r="E111" t="inlineStr">
        <is>
          <t>5Y</t>
        </is>
      </c>
      <c r="F111" t="n">
        <v>5</v>
      </c>
      <c r="G111" t="inlineStr">
        <is>
          <t>CHF5Y BGN Curncy</t>
        </is>
      </c>
      <c r="H111" t="inlineStr">
        <is>
          <t>PX_LAST</t>
        </is>
      </c>
      <c r="I111" t="inlineStr">
        <is>
          <t>rate</t>
        </is>
      </c>
      <c r="J111" s="8">
        <f>IFERROR(INDEX(BDH($G$111,$H$111,'01_Parametros'!$B$3,'01_Parametros'!$B$3,"Days=A","Fill=B","Dir=H"),1,2),BDH($G$111,$H$111,'01_Parametros'!$B$3,'01_Parametros'!$B$3,"Days=A","Fill=B"))</f>
        <v/>
      </c>
      <c r="K111" s="8">
        <f>IFERROR(INDEX(BDH($G$111,$H$111,'01_Parametros'!$B$5,'01_Parametros'!$B$5,"Days=A","Fill=B","Dir=H"),1,2),BDH($G$111,$H$111,'01_Parametros'!$B$5,'01_Parametros'!$B$5,"Days=A","Fill=B"))</f>
        <v/>
      </c>
      <c r="L111" s="8">
        <f>IFERROR(INDEX(BDH($G$111,$H$111,'01_Parametros'!$B$6,'01_Parametros'!$B$6,"Days=A","Fill=B","Dir=H"),1,2),BDH($G$111,$H$111,'01_Parametros'!$B$6,'01_Parametros'!$B$6,"Days=A","Fill=B"))</f>
        <v/>
      </c>
      <c r="M111" s="8">
        <f>IFERROR(INDEX(BDH($G$111,$H$111,'01_Parametros'!$B$7,'01_Parametros'!$B$7,"Days=A","Fill=B","Dir=H"),1,2),BDH($G$111,$H$111,'01_Parametros'!$B$7,'01_Parametros'!$B$7,"Days=A","Fill=B"))</f>
        <v/>
      </c>
      <c r="N111" t="inlineStr">
        <is>
          <t>USD/CHF forward 5Y</t>
        </is>
      </c>
    </row>
    <row r="112">
      <c r="A112" t="n">
        <v>111</v>
      </c>
      <c r="B112" t="inlineStr">
        <is>
          <t>fx_forward</t>
        </is>
      </c>
      <c r="C112" t="inlineStr">
        <is>
          <t>G10</t>
        </is>
      </c>
      <c r="D112" t="inlineStr">
        <is>
          <t>AUDUSD_FWD</t>
        </is>
      </c>
      <c r="E112" t="inlineStr">
        <is>
          <t>1M</t>
        </is>
      </c>
      <c r="F112" t="n">
        <v>0.083</v>
      </c>
      <c r="G112" t="inlineStr">
        <is>
          <t>AUD1M BGN Curncy</t>
        </is>
      </c>
      <c r="H112" t="inlineStr">
        <is>
          <t>PX_LAST</t>
        </is>
      </c>
      <c r="I112" t="inlineStr">
        <is>
          <t>rate</t>
        </is>
      </c>
      <c r="J112" s="8">
        <f>IFERROR(INDEX(BDH($G$112,$H$112,'01_Parametros'!$B$3,'01_Parametros'!$B$3,"Days=A","Fill=B","Dir=H"),1,2),BDH($G$112,$H$112,'01_Parametros'!$B$3,'01_Parametros'!$B$3,"Days=A","Fill=B"))</f>
        <v/>
      </c>
      <c r="K112" s="8">
        <f>IFERROR(INDEX(BDH($G$112,$H$112,'01_Parametros'!$B$5,'01_Parametros'!$B$5,"Days=A","Fill=B","Dir=H"),1,2),BDH($G$112,$H$112,'01_Parametros'!$B$5,'01_Parametros'!$B$5,"Days=A","Fill=B"))</f>
        <v/>
      </c>
      <c r="L112" s="8">
        <f>IFERROR(INDEX(BDH($G$112,$H$112,'01_Parametros'!$B$6,'01_Parametros'!$B$6,"Days=A","Fill=B","Dir=H"),1,2),BDH($G$112,$H$112,'01_Parametros'!$B$6,'01_Parametros'!$B$6,"Days=A","Fill=B"))</f>
        <v/>
      </c>
      <c r="M112" s="8">
        <f>IFERROR(INDEX(BDH($G$112,$H$112,'01_Parametros'!$B$7,'01_Parametros'!$B$7,"Days=A","Fill=B","Dir=H"),1,2),BDH($G$112,$H$112,'01_Parametros'!$B$7,'01_Parametros'!$B$7,"Days=A","Fill=B"))</f>
        <v/>
      </c>
      <c r="N112" t="inlineStr">
        <is>
          <t>AUD/USD forward 1M</t>
        </is>
      </c>
    </row>
    <row r="113">
      <c r="A113" t="n">
        <v>112</v>
      </c>
      <c r="B113" t="inlineStr">
        <is>
          <t>fx_forward</t>
        </is>
      </c>
      <c r="C113" t="inlineStr">
        <is>
          <t>G10</t>
        </is>
      </c>
      <c r="D113" t="inlineStr">
        <is>
          <t>AUDUSD_FWD</t>
        </is>
      </c>
      <c r="E113" t="inlineStr">
        <is>
          <t>3M</t>
        </is>
      </c>
      <c r="F113" t="n">
        <v>0.25</v>
      </c>
      <c r="G113" t="inlineStr">
        <is>
          <t>AUD3M BGN Curncy</t>
        </is>
      </c>
      <c r="H113" t="inlineStr">
        <is>
          <t>PX_LAST</t>
        </is>
      </c>
      <c r="I113" t="inlineStr">
        <is>
          <t>rate</t>
        </is>
      </c>
      <c r="J113" s="8">
        <f>IFERROR(INDEX(BDH($G$113,$H$113,'01_Parametros'!$B$3,'01_Parametros'!$B$3,"Days=A","Fill=B","Dir=H"),1,2),BDH($G$113,$H$113,'01_Parametros'!$B$3,'01_Parametros'!$B$3,"Days=A","Fill=B"))</f>
        <v/>
      </c>
      <c r="K113" s="8">
        <f>IFERROR(INDEX(BDH($G$113,$H$113,'01_Parametros'!$B$5,'01_Parametros'!$B$5,"Days=A","Fill=B","Dir=H"),1,2),BDH($G$113,$H$113,'01_Parametros'!$B$5,'01_Parametros'!$B$5,"Days=A","Fill=B"))</f>
        <v/>
      </c>
      <c r="L113" s="8">
        <f>IFERROR(INDEX(BDH($G$113,$H$113,'01_Parametros'!$B$6,'01_Parametros'!$B$6,"Days=A","Fill=B","Dir=H"),1,2),BDH($G$113,$H$113,'01_Parametros'!$B$6,'01_Parametros'!$B$6,"Days=A","Fill=B"))</f>
        <v/>
      </c>
      <c r="M113" s="8">
        <f>IFERROR(INDEX(BDH($G$113,$H$113,'01_Parametros'!$B$7,'01_Parametros'!$B$7,"Days=A","Fill=B","Dir=H"),1,2),BDH($G$113,$H$113,'01_Parametros'!$B$7,'01_Parametros'!$B$7,"Days=A","Fill=B"))</f>
        <v/>
      </c>
      <c r="N113" t="inlineStr">
        <is>
          <t>AUD/USD forward 3M</t>
        </is>
      </c>
    </row>
    <row r="114">
      <c r="A114" t="n">
        <v>113</v>
      </c>
      <c r="B114" t="inlineStr">
        <is>
          <t>fx_forward</t>
        </is>
      </c>
      <c r="C114" t="inlineStr">
        <is>
          <t>G10</t>
        </is>
      </c>
      <c r="D114" t="inlineStr">
        <is>
          <t>AUDUSD_FWD</t>
        </is>
      </c>
      <c r="E114" t="inlineStr">
        <is>
          <t>6M</t>
        </is>
      </c>
      <c r="F114" t="n">
        <v>0.5</v>
      </c>
      <c r="G114" t="inlineStr">
        <is>
          <t>AUD6M BGN Curncy</t>
        </is>
      </c>
      <c r="H114" t="inlineStr">
        <is>
          <t>PX_LAST</t>
        </is>
      </c>
      <c r="I114" t="inlineStr">
        <is>
          <t>rate</t>
        </is>
      </c>
      <c r="J114" s="8">
        <f>IFERROR(INDEX(BDH($G$114,$H$114,'01_Parametros'!$B$3,'01_Parametros'!$B$3,"Days=A","Fill=B","Dir=H"),1,2),BDH($G$114,$H$114,'01_Parametros'!$B$3,'01_Parametros'!$B$3,"Days=A","Fill=B"))</f>
        <v/>
      </c>
      <c r="K114" s="8">
        <f>IFERROR(INDEX(BDH($G$114,$H$114,'01_Parametros'!$B$5,'01_Parametros'!$B$5,"Days=A","Fill=B","Dir=H"),1,2),BDH($G$114,$H$114,'01_Parametros'!$B$5,'01_Parametros'!$B$5,"Days=A","Fill=B"))</f>
        <v/>
      </c>
      <c r="L114" s="8">
        <f>IFERROR(INDEX(BDH($G$114,$H$114,'01_Parametros'!$B$6,'01_Parametros'!$B$6,"Days=A","Fill=B","Dir=H"),1,2),BDH($G$114,$H$114,'01_Parametros'!$B$6,'01_Parametros'!$B$6,"Days=A","Fill=B"))</f>
        <v/>
      </c>
      <c r="M114" s="8">
        <f>IFERROR(INDEX(BDH($G$114,$H$114,'01_Parametros'!$B$7,'01_Parametros'!$B$7,"Days=A","Fill=B","Dir=H"),1,2),BDH($G$114,$H$114,'01_Parametros'!$B$7,'01_Parametros'!$B$7,"Days=A","Fill=B"))</f>
        <v/>
      </c>
      <c r="N114" t="inlineStr">
        <is>
          <t>AUD/USD forward 6M</t>
        </is>
      </c>
    </row>
    <row r="115">
      <c r="A115" t="n">
        <v>114</v>
      </c>
      <c r="B115" t="inlineStr">
        <is>
          <t>fx_forward</t>
        </is>
      </c>
      <c r="C115" t="inlineStr">
        <is>
          <t>G10</t>
        </is>
      </c>
      <c r="D115" t="inlineStr">
        <is>
          <t>AUDUSD_FWD</t>
        </is>
      </c>
      <c r="E115" t="inlineStr">
        <is>
          <t>1Y</t>
        </is>
      </c>
      <c r="F115" t="n">
        <v>1</v>
      </c>
      <c r="G115" t="inlineStr">
        <is>
          <t>AUD12M BGN Curncy</t>
        </is>
      </c>
      <c r="H115" t="inlineStr">
        <is>
          <t>PX_LAST</t>
        </is>
      </c>
      <c r="I115" t="inlineStr">
        <is>
          <t>rate</t>
        </is>
      </c>
      <c r="J115" s="8">
        <f>IFERROR(INDEX(BDH($G$115,$H$115,'01_Parametros'!$B$3,'01_Parametros'!$B$3,"Days=A","Fill=B","Dir=H"),1,2),BDH($G$115,$H$115,'01_Parametros'!$B$3,'01_Parametros'!$B$3,"Days=A","Fill=B"))</f>
        <v/>
      </c>
      <c r="K115" s="8">
        <f>IFERROR(INDEX(BDH($G$115,$H$115,'01_Parametros'!$B$5,'01_Parametros'!$B$5,"Days=A","Fill=B","Dir=H"),1,2),BDH($G$115,$H$115,'01_Parametros'!$B$5,'01_Parametros'!$B$5,"Days=A","Fill=B"))</f>
        <v/>
      </c>
      <c r="L115" s="8">
        <f>IFERROR(INDEX(BDH($G$115,$H$115,'01_Parametros'!$B$6,'01_Parametros'!$B$6,"Days=A","Fill=B","Dir=H"),1,2),BDH($G$115,$H$115,'01_Parametros'!$B$6,'01_Parametros'!$B$6,"Days=A","Fill=B"))</f>
        <v/>
      </c>
      <c r="M115" s="8">
        <f>IFERROR(INDEX(BDH($G$115,$H$115,'01_Parametros'!$B$7,'01_Parametros'!$B$7,"Days=A","Fill=B","Dir=H"),1,2),BDH($G$115,$H$115,'01_Parametros'!$B$7,'01_Parametros'!$B$7,"Days=A","Fill=B"))</f>
        <v/>
      </c>
      <c r="N115" t="inlineStr">
        <is>
          <t>AUD/USD forward 1Y</t>
        </is>
      </c>
    </row>
    <row r="116">
      <c r="A116" t="n">
        <v>115</v>
      </c>
      <c r="B116" t="inlineStr">
        <is>
          <t>fx_forward</t>
        </is>
      </c>
      <c r="C116" t="inlineStr">
        <is>
          <t>G10</t>
        </is>
      </c>
      <c r="D116" t="inlineStr">
        <is>
          <t>AUDUSD_FWD</t>
        </is>
      </c>
      <c r="E116" t="inlineStr">
        <is>
          <t>2Y</t>
        </is>
      </c>
      <c r="F116" t="n">
        <v>2</v>
      </c>
      <c r="G116" t="inlineStr">
        <is>
          <t>AUD2Y BGN Curncy</t>
        </is>
      </c>
      <c r="H116" t="inlineStr">
        <is>
          <t>PX_LAST</t>
        </is>
      </c>
      <c r="I116" t="inlineStr">
        <is>
          <t>rate</t>
        </is>
      </c>
      <c r="J116" s="8">
        <f>IFERROR(INDEX(BDH($G$116,$H$116,'01_Parametros'!$B$3,'01_Parametros'!$B$3,"Days=A","Fill=B","Dir=H"),1,2),BDH($G$116,$H$116,'01_Parametros'!$B$3,'01_Parametros'!$B$3,"Days=A","Fill=B"))</f>
        <v/>
      </c>
      <c r="K116" s="8">
        <f>IFERROR(INDEX(BDH($G$116,$H$116,'01_Parametros'!$B$5,'01_Parametros'!$B$5,"Days=A","Fill=B","Dir=H"),1,2),BDH($G$116,$H$116,'01_Parametros'!$B$5,'01_Parametros'!$B$5,"Days=A","Fill=B"))</f>
        <v/>
      </c>
      <c r="L116" s="8">
        <f>IFERROR(INDEX(BDH($G$116,$H$116,'01_Parametros'!$B$6,'01_Parametros'!$B$6,"Days=A","Fill=B","Dir=H"),1,2),BDH($G$116,$H$116,'01_Parametros'!$B$6,'01_Parametros'!$B$6,"Days=A","Fill=B"))</f>
        <v/>
      </c>
      <c r="M116" s="8">
        <f>IFERROR(INDEX(BDH($G$116,$H$116,'01_Parametros'!$B$7,'01_Parametros'!$B$7,"Days=A","Fill=B","Dir=H"),1,2),BDH($G$116,$H$116,'01_Parametros'!$B$7,'01_Parametros'!$B$7,"Days=A","Fill=B"))</f>
        <v/>
      </c>
      <c r="N116" t="inlineStr">
        <is>
          <t>AUD/USD forward 2Y</t>
        </is>
      </c>
    </row>
    <row r="117">
      <c r="A117" t="n">
        <v>116</v>
      </c>
      <c r="B117" t="inlineStr">
        <is>
          <t>fx_forward</t>
        </is>
      </c>
      <c r="C117" t="inlineStr">
        <is>
          <t>G10</t>
        </is>
      </c>
      <c r="D117" t="inlineStr">
        <is>
          <t>AUDUSD_FWD</t>
        </is>
      </c>
      <c r="E117" t="inlineStr">
        <is>
          <t>3Y</t>
        </is>
      </c>
      <c r="F117" t="n">
        <v>3</v>
      </c>
      <c r="G117" t="inlineStr">
        <is>
          <t>AUD3Y BGN Curncy</t>
        </is>
      </c>
      <c r="H117" t="inlineStr">
        <is>
          <t>PX_LAST</t>
        </is>
      </c>
      <c r="I117" t="inlineStr">
        <is>
          <t>rate</t>
        </is>
      </c>
      <c r="J117" s="8">
        <f>IFERROR(INDEX(BDH($G$117,$H$117,'01_Parametros'!$B$3,'01_Parametros'!$B$3,"Days=A","Fill=B","Dir=H"),1,2),BDH($G$117,$H$117,'01_Parametros'!$B$3,'01_Parametros'!$B$3,"Days=A","Fill=B"))</f>
        <v/>
      </c>
      <c r="K117" s="8">
        <f>IFERROR(INDEX(BDH($G$117,$H$117,'01_Parametros'!$B$5,'01_Parametros'!$B$5,"Days=A","Fill=B","Dir=H"),1,2),BDH($G$117,$H$117,'01_Parametros'!$B$5,'01_Parametros'!$B$5,"Days=A","Fill=B"))</f>
        <v/>
      </c>
      <c r="L117" s="8">
        <f>IFERROR(INDEX(BDH($G$117,$H$117,'01_Parametros'!$B$6,'01_Parametros'!$B$6,"Days=A","Fill=B","Dir=H"),1,2),BDH($G$117,$H$117,'01_Parametros'!$B$6,'01_Parametros'!$B$6,"Days=A","Fill=B"))</f>
        <v/>
      </c>
      <c r="M117" s="8">
        <f>IFERROR(INDEX(BDH($G$117,$H$117,'01_Parametros'!$B$7,'01_Parametros'!$B$7,"Days=A","Fill=B","Dir=H"),1,2),BDH($G$117,$H$117,'01_Parametros'!$B$7,'01_Parametros'!$B$7,"Days=A","Fill=B"))</f>
        <v/>
      </c>
      <c r="N117" t="inlineStr">
        <is>
          <t>AUD/USD forward 3Y</t>
        </is>
      </c>
    </row>
    <row r="118">
      <c r="A118" t="n">
        <v>117</v>
      </c>
      <c r="B118" t="inlineStr">
        <is>
          <t>fx_forward</t>
        </is>
      </c>
      <c r="C118" t="inlineStr">
        <is>
          <t>G10</t>
        </is>
      </c>
      <c r="D118" t="inlineStr">
        <is>
          <t>AUDUSD_FWD</t>
        </is>
      </c>
      <c r="E118" t="inlineStr">
        <is>
          <t>4Y</t>
        </is>
      </c>
      <c r="F118" t="n">
        <v>4</v>
      </c>
      <c r="G118" t="inlineStr">
        <is>
          <t>AUD4Y BGN Curncy</t>
        </is>
      </c>
      <c r="H118" t="inlineStr">
        <is>
          <t>PX_LAST</t>
        </is>
      </c>
      <c r="I118" t="inlineStr">
        <is>
          <t>rate</t>
        </is>
      </c>
      <c r="J118" s="8">
        <f>IFERROR(INDEX(BDH($G$118,$H$118,'01_Parametros'!$B$3,'01_Parametros'!$B$3,"Days=A","Fill=B","Dir=H"),1,2),BDH($G$118,$H$118,'01_Parametros'!$B$3,'01_Parametros'!$B$3,"Days=A","Fill=B"))</f>
        <v/>
      </c>
      <c r="K118" s="8">
        <f>IFERROR(INDEX(BDH($G$118,$H$118,'01_Parametros'!$B$5,'01_Parametros'!$B$5,"Days=A","Fill=B","Dir=H"),1,2),BDH($G$118,$H$118,'01_Parametros'!$B$5,'01_Parametros'!$B$5,"Days=A","Fill=B"))</f>
        <v/>
      </c>
      <c r="L118" s="8">
        <f>IFERROR(INDEX(BDH($G$118,$H$118,'01_Parametros'!$B$6,'01_Parametros'!$B$6,"Days=A","Fill=B","Dir=H"),1,2),BDH($G$118,$H$118,'01_Parametros'!$B$6,'01_Parametros'!$B$6,"Days=A","Fill=B"))</f>
        <v/>
      </c>
      <c r="M118" s="8">
        <f>IFERROR(INDEX(BDH($G$118,$H$118,'01_Parametros'!$B$7,'01_Parametros'!$B$7,"Days=A","Fill=B","Dir=H"),1,2),BDH($G$118,$H$118,'01_Parametros'!$B$7,'01_Parametros'!$B$7,"Days=A","Fill=B"))</f>
        <v/>
      </c>
      <c r="N118" t="inlineStr">
        <is>
          <t>AUD/USD forward 4Y</t>
        </is>
      </c>
    </row>
    <row r="119">
      <c r="A119" t="n">
        <v>118</v>
      </c>
      <c r="B119" t="inlineStr">
        <is>
          <t>fx_forward</t>
        </is>
      </c>
      <c r="C119" t="inlineStr">
        <is>
          <t>G10</t>
        </is>
      </c>
      <c r="D119" t="inlineStr">
        <is>
          <t>AUDUSD_FWD</t>
        </is>
      </c>
      <c r="E119" t="inlineStr">
        <is>
          <t>5Y</t>
        </is>
      </c>
      <c r="F119" t="n">
        <v>5</v>
      </c>
      <c r="G119" t="inlineStr">
        <is>
          <t>AUD5Y BGN Curncy</t>
        </is>
      </c>
      <c r="H119" t="inlineStr">
        <is>
          <t>PX_LAST</t>
        </is>
      </c>
      <c r="I119" t="inlineStr">
        <is>
          <t>rate</t>
        </is>
      </c>
      <c r="J119" s="8">
        <f>IFERROR(INDEX(BDH($G$119,$H$119,'01_Parametros'!$B$3,'01_Parametros'!$B$3,"Days=A","Fill=B","Dir=H"),1,2),BDH($G$119,$H$119,'01_Parametros'!$B$3,'01_Parametros'!$B$3,"Days=A","Fill=B"))</f>
        <v/>
      </c>
      <c r="K119" s="8">
        <f>IFERROR(INDEX(BDH($G$119,$H$119,'01_Parametros'!$B$5,'01_Parametros'!$B$5,"Days=A","Fill=B","Dir=H"),1,2),BDH($G$119,$H$119,'01_Parametros'!$B$5,'01_Parametros'!$B$5,"Days=A","Fill=B"))</f>
        <v/>
      </c>
      <c r="L119" s="8">
        <f>IFERROR(INDEX(BDH($G$119,$H$119,'01_Parametros'!$B$6,'01_Parametros'!$B$6,"Days=A","Fill=B","Dir=H"),1,2),BDH($G$119,$H$119,'01_Parametros'!$B$6,'01_Parametros'!$B$6,"Days=A","Fill=B"))</f>
        <v/>
      </c>
      <c r="M119" s="8">
        <f>IFERROR(INDEX(BDH($G$119,$H$119,'01_Parametros'!$B$7,'01_Parametros'!$B$7,"Days=A","Fill=B","Dir=H"),1,2),BDH($G$119,$H$119,'01_Parametros'!$B$7,'01_Parametros'!$B$7,"Days=A","Fill=B"))</f>
        <v/>
      </c>
      <c r="N119" t="inlineStr">
        <is>
          <t>AUD/USD forward 5Y</t>
        </is>
      </c>
    </row>
    <row r="120">
      <c r="A120" t="n">
        <v>119</v>
      </c>
      <c r="B120" t="inlineStr">
        <is>
          <t>cds</t>
        </is>
      </c>
      <c r="C120" t="inlineStr">
        <is>
          <t>PA</t>
        </is>
      </c>
      <c r="D120" t="inlineStr">
        <is>
          <t>CDS_PANAMA</t>
        </is>
      </c>
      <c r="E120" t="inlineStr">
        <is>
          <t>5Y</t>
        </is>
      </c>
      <c r="F120" t="n">
        <v>5</v>
      </c>
      <c r="G120" t="inlineStr">
        <is>
          <t>CPAN CDS USD SR 5Y Corp</t>
        </is>
      </c>
      <c r="H120" t="inlineStr">
        <is>
          <t>PX_LAST</t>
        </is>
      </c>
      <c r="I120" t="inlineStr">
        <is>
          <t>bps</t>
        </is>
      </c>
      <c r="J120" s="8">
        <f>IFERROR(INDEX(BDH($G$120,$H$120,'01_Parametros'!$B$3,'01_Parametros'!$B$3,"Days=A","Fill=B","Dir=H"),1,2),BDH($G$120,$H$120,'01_Parametros'!$B$3,'01_Parametros'!$B$3,"Days=A","Fill=B"))</f>
        <v/>
      </c>
      <c r="K120" s="8">
        <f>IFERROR(INDEX(BDH($G$120,$H$120,'01_Parametros'!$B$5,'01_Parametros'!$B$5,"Days=A","Fill=B","Dir=H"),1,2),BDH($G$120,$H$120,'01_Parametros'!$B$5,'01_Parametros'!$B$5,"Days=A","Fill=B"))</f>
        <v/>
      </c>
      <c r="L120" s="8">
        <f>IFERROR(INDEX(BDH($G$120,$H$120,'01_Parametros'!$B$6,'01_Parametros'!$B$6,"Days=A","Fill=B","Dir=H"),1,2),BDH($G$120,$H$120,'01_Parametros'!$B$6,'01_Parametros'!$B$6,"Days=A","Fill=B"))</f>
        <v/>
      </c>
      <c r="M120" s="8">
        <f>IFERROR(INDEX(BDH($G$120,$H$120,'01_Parametros'!$B$7,'01_Parametros'!$B$7,"Days=A","Fill=B","Dir=H"),1,2),BDH($G$120,$H$120,'01_Parametros'!$B$7,'01_Parametros'!$B$7,"Days=A","Fill=B"))</f>
        <v/>
      </c>
      <c r="N120" t="inlineStr">
        <is>
          <t>CDS Panamá soberano 5Y — confirmar ticker</t>
        </is>
      </c>
    </row>
    <row r="121">
      <c r="A121" t="n">
        <v>120</v>
      </c>
      <c r="B121" t="inlineStr">
        <is>
          <t>credit_index</t>
        </is>
      </c>
      <c r="C121" t="inlineStr">
        <is>
          <t>PA</t>
        </is>
      </c>
      <c r="D121" t="inlineStr">
        <is>
          <t>EMBI_PANAMA</t>
        </is>
      </c>
      <c r="E121" t="inlineStr">
        <is>
          <t>ALL</t>
        </is>
      </c>
      <c r="F121" t="n">
        <v>0</v>
      </c>
      <c r="G121" t="inlineStr">
        <is>
          <t>JPEIPANE Index</t>
        </is>
      </c>
      <c r="H121" t="inlineStr">
        <is>
          <t>PX_LAST</t>
        </is>
      </c>
      <c r="I121" t="inlineStr">
        <is>
          <t>bps</t>
        </is>
      </c>
      <c r="J121" s="8">
        <f>IFERROR(INDEX(BDH($G$121,$H$121,'01_Parametros'!$B$3,'01_Parametros'!$B$3,"Days=A","Fill=B","Dir=H"),1,2),BDH($G$121,$H$121,'01_Parametros'!$B$3,'01_Parametros'!$B$3,"Days=A","Fill=B"))</f>
        <v/>
      </c>
      <c r="K121" s="8">
        <f>IFERROR(INDEX(BDH($G$121,$H$121,'01_Parametros'!$B$5,'01_Parametros'!$B$5,"Days=A","Fill=B","Dir=H"),1,2),BDH($G$121,$H$121,'01_Parametros'!$B$5,'01_Parametros'!$B$5,"Days=A","Fill=B"))</f>
        <v/>
      </c>
      <c r="L121" s="8">
        <f>IFERROR(INDEX(BDH($G$121,$H$121,'01_Parametros'!$B$6,'01_Parametros'!$B$6,"Days=A","Fill=B","Dir=H"),1,2),BDH($G$121,$H$121,'01_Parametros'!$B$6,'01_Parametros'!$B$6,"Days=A","Fill=B"))</f>
        <v/>
      </c>
      <c r="M121" s="8">
        <f>IFERROR(INDEX(BDH($G$121,$H$121,'01_Parametros'!$B$7,'01_Parametros'!$B$7,"Days=A","Fill=B","Dir=H"),1,2),BDH($G$121,$H$121,'01_Parametros'!$B$7,'01_Parametros'!$B$7,"Days=A","Fill=B"))</f>
        <v/>
      </c>
      <c r="N121" t="inlineStr">
        <is>
          <t>EMBI Panamá spread strip</t>
        </is>
      </c>
    </row>
    <row r="122">
      <c r="A122" t="n">
        <v>121</v>
      </c>
      <c r="B122" t="inlineStr">
        <is>
          <t>survey</t>
        </is>
      </c>
      <c r="C122" t="inlineStr">
        <is>
          <t>US</t>
        </is>
      </c>
      <c r="D122" t="inlineStr">
        <is>
          <t>ECFC_FF_NEXT_MEETING</t>
        </is>
      </c>
      <c r="E122" t="inlineStr">
        <is>
          <t>—</t>
        </is>
      </c>
      <c r="F122" t="n">
        <v>0</v>
      </c>
      <c r="G122" t="inlineStr">
        <is>
          <t>—</t>
        </is>
      </c>
      <c r="H122" t="inlineStr">
        <is>
          <t>PASTE</t>
        </is>
      </c>
      <c r="I122" t="inlineStr">
        <is>
          <t>percent</t>
        </is>
      </c>
      <c r="J122" s="8">
        <f>IFERROR(INDEX(BDH($G$122,$H$122,'01_Parametros'!$B$3,'01_Parametros'!$B$3,"Days=A","Fill=B","Dir=H"),1,2),BDH($G$122,$H$122,'01_Parametros'!$B$3,'01_Parametros'!$B$3,"Days=A","Fill=B"))</f>
        <v/>
      </c>
      <c r="K122" s="8">
        <f>IFERROR(INDEX(BDH($G$122,$H$122,'01_Parametros'!$B$5,'01_Parametros'!$B$5,"Days=A","Fill=B","Dir=H"),1,2),BDH($G$122,$H$122,'01_Parametros'!$B$5,'01_Parametros'!$B$5,"Days=A","Fill=B"))</f>
        <v/>
      </c>
      <c r="L122" s="8">
        <f>IFERROR(INDEX(BDH($G$122,$H$122,'01_Parametros'!$B$6,'01_Parametros'!$B$6,"Days=A","Fill=B","Dir=H"),1,2),BDH($G$122,$H$122,'01_Parametros'!$B$6,'01_Parametros'!$B$6,"Days=A","Fill=B"))</f>
        <v/>
      </c>
      <c r="M122" s="8">
        <f>IFERROR(INDEX(BDH($G$122,$H$122,'01_Parametros'!$B$7,'01_Parametros'!$B$7,"Days=A","Fill=B","Dir=H"),1,2),BDH($G$122,$H$122,'01_Parametros'!$B$7,'01_Parametros'!$B$7,"Days=A","Fill=B"))</f>
        <v/>
      </c>
      <c r="N122" t="inlineStr">
        <is>
          <t>Consensus economistas Fed Funds próxima reunión (de pantalla ECFC&lt;GO&gt;) — paste manual</t>
        </is>
      </c>
    </row>
    <row r="123">
      <c r="A123" t="n">
        <v>122</v>
      </c>
      <c r="B123" t="inlineStr">
        <is>
          <t>survey</t>
        </is>
      </c>
      <c r="C123" t="inlineStr">
        <is>
          <t>US</t>
        </is>
      </c>
      <c r="D123" t="inlineStr">
        <is>
          <t>ECFC_FF_3M</t>
        </is>
      </c>
      <c r="E123" t="inlineStr">
        <is>
          <t>3M</t>
        </is>
      </c>
      <c r="F123" t="n">
        <v>0.25</v>
      </c>
      <c r="G123" t="inlineStr">
        <is>
          <t>—</t>
        </is>
      </c>
      <c r="H123" t="inlineStr">
        <is>
          <t>PASTE</t>
        </is>
      </c>
      <c r="I123" t="inlineStr">
        <is>
          <t>percent</t>
        </is>
      </c>
      <c r="J123" s="8">
        <f>IFERROR(INDEX(BDH($G$123,$H$123,'01_Parametros'!$B$3,'01_Parametros'!$B$3,"Days=A","Fill=B","Dir=H"),1,2),BDH($G$123,$H$123,'01_Parametros'!$B$3,'01_Parametros'!$B$3,"Days=A","Fill=B"))</f>
        <v/>
      </c>
      <c r="K123" s="8">
        <f>IFERROR(INDEX(BDH($G$123,$H$123,'01_Parametros'!$B$5,'01_Parametros'!$B$5,"Days=A","Fill=B","Dir=H"),1,2),BDH($G$123,$H$123,'01_Parametros'!$B$5,'01_Parametros'!$B$5,"Days=A","Fill=B"))</f>
        <v/>
      </c>
      <c r="L123" s="8">
        <f>IFERROR(INDEX(BDH($G$123,$H$123,'01_Parametros'!$B$6,'01_Parametros'!$B$6,"Days=A","Fill=B","Dir=H"),1,2),BDH($G$123,$H$123,'01_Parametros'!$B$6,'01_Parametros'!$B$6,"Days=A","Fill=B"))</f>
        <v/>
      </c>
      <c r="M123" s="8">
        <f>IFERROR(INDEX(BDH($G$123,$H$123,'01_Parametros'!$B$7,'01_Parametros'!$B$7,"Days=A","Fill=B","Dir=H"),1,2),BDH($G$123,$H$123,'01_Parametros'!$B$7,'01_Parametros'!$B$7,"Days=A","Fill=B"))</f>
        <v/>
      </c>
      <c r="N123" t="inlineStr">
        <is>
          <t>Consensus economistas Fed Funds a 3 meses — paste manual</t>
        </is>
      </c>
    </row>
    <row r="124">
      <c r="A124" t="n">
        <v>123</v>
      </c>
      <c r="B124" t="inlineStr">
        <is>
          <t>survey</t>
        </is>
      </c>
      <c r="C124" t="inlineStr">
        <is>
          <t>US</t>
        </is>
      </c>
      <c r="D124" t="inlineStr">
        <is>
          <t>ECFC_FF_12M</t>
        </is>
      </c>
      <c r="E124" t="inlineStr">
        <is>
          <t>12M</t>
        </is>
      </c>
      <c r="F124" t="n">
        <v>1</v>
      </c>
      <c r="G124" t="inlineStr">
        <is>
          <t>—</t>
        </is>
      </c>
      <c r="H124" t="inlineStr">
        <is>
          <t>PASTE</t>
        </is>
      </c>
      <c r="I124" t="inlineStr">
        <is>
          <t>percent</t>
        </is>
      </c>
      <c r="J124" s="8">
        <f>IFERROR(INDEX(BDH($G$124,$H$124,'01_Parametros'!$B$3,'01_Parametros'!$B$3,"Days=A","Fill=B","Dir=H"),1,2),BDH($G$124,$H$124,'01_Parametros'!$B$3,'01_Parametros'!$B$3,"Days=A","Fill=B"))</f>
        <v/>
      </c>
      <c r="K124" s="8">
        <f>IFERROR(INDEX(BDH($G$124,$H$124,'01_Parametros'!$B$5,'01_Parametros'!$B$5,"Days=A","Fill=B","Dir=H"),1,2),BDH($G$124,$H$124,'01_Parametros'!$B$5,'01_Parametros'!$B$5,"Days=A","Fill=B"))</f>
        <v/>
      </c>
      <c r="L124" s="8">
        <f>IFERROR(INDEX(BDH($G$124,$H$124,'01_Parametros'!$B$6,'01_Parametros'!$B$6,"Days=A","Fill=B","Dir=H"),1,2),BDH($G$124,$H$124,'01_Parametros'!$B$6,'01_Parametros'!$B$6,"Days=A","Fill=B"))</f>
        <v/>
      </c>
      <c r="M124" s="8">
        <f>IFERROR(INDEX(BDH($G$124,$H$124,'01_Parametros'!$B$7,'01_Parametros'!$B$7,"Days=A","Fill=B","Dir=H"),1,2),BDH($G$124,$H$124,'01_Parametros'!$B$7,'01_Parametros'!$B$7,"Days=A","Fill=B"))</f>
        <v/>
      </c>
      <c r="N124" t="inlineStr">
        <is>
          <t>Consensus economistas Fed Funds a 12 meses — paste manual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14" customWidth="1" min="4" max="4"/>
    <col width="18" customWidth="1" min="5" max="5"/>
    <col width="14" customWidth="1" min="6" max="6"/>
    <col width="18" customWidth="1" min="7" max="7"/>
    <col width="16" customWidth="1" min="8" max="8"/>
  </cols>
  <sheetData>
    <row r="1">
      <c r="A1" s="5" t="inlineStr">
        <is>
          <t>#</t>
        </is>
      </c>
      <c r="B1" s="5" t="inlineStr">
        <is>
          <t>contract_code</t>
        </is>
      </c>
      <c r="C1" s="5" t="inlineStr">
        <is>
          <t>description</t>
        </is>
      </c>
      <c r="D1" s="5" t="inlineStr">
        <is>
          <t>AS_OF_price</t>
        </is>
      </c>
      <c r="E1" s="5" t="inlineStr">
        <is>
          <t>AS_OF_implied_rate</t>
        </is>
      </c>
      <c r="F1" s="5" t="inlineStr">
        <is>
          <t>MES_ANT_price</t>
        </is>
      </c>
      <c r="G1" s="5" t="inlineStr">
        <is>
          <t>MES_ANT_implied_rate</t>
        </is>
      </c>
      <c r="H1" s="5" t="inlineStr">
        <is>
          <t>open_interest</t>
        </is>
      </c>
    </row>
    <row r="2">
      <c r="A2" t="n">
        <v>1</v>
      </c>
      <c r="B2" t="inlineStr">
        <is>
          <t>SFR1 Comdty</t>
        </is>
      </c>
      <c r="C2" t="inlineStr">
        <is>
          <t>SOFR future month 1</t>
        </is>
      </c>
      <c r="D2" s="8">
        <f>IFERROR(INDEX(BDH($B$2,"PX_LAST",'01_Parametros'!$B$3,'01_Parametros'!$B$3,"Days=A","Fill=B"),1,2),BDH($B$2,"PX_LAST",'01_Parametros'!$B$3,'01_Parametros'!$B$3,"Days=A","Fill=B"))</f>
        <v/>
      </c>
      <c r="E2" s="8">
        <f>100-D2</f>
        <v/>
      </c>
      <c r="F2" s="8">
        <f>IFERROR(INDEX(BDH($B$2,"PX_LAST",'01_Parametros'!$B$5,'01_Parametros'!$B$5,"Days=A","Fill=B"),1,2),BDH($B$2,"PX_LAST",'01_Parametros'!$B$5,'01_Parametros'!$B$5,"Days=A","Fill=B"))</f>
        <v/>
      </c>
      <c r="G2" s="8">
        <f>100-F2</f>
        <v/>
      </c>
      <c r="H2" s="8">
        <f>IFERROR(INDEX(BDH($B$2,"OPEN_INT",'01_Parametros'!$B$3,'01_Parametros'!$B$3,"Days=A","Fill=B"),1,2),BDH($B$2,"OPEN_INT",'01_Parametros'!$B$3,'01_Parametros'!$B$3,"Days=A","Fill=B"))</f>
        <v/>
      </c>
    </row>
    <row r="3">
      <c r="A3" t="n">
        <v>2</v>
      </c>
      <c r="B3" t="inlineStr">
        <is>
          <t>SFR2 Comdty</t>
        </is>
      </c>
      <c r="C3" t="inlineStr">
        <is>
          <t>SOFR future month 2</t>
        </is>
      </c>
      <c r="D3" s="8">
        <f>IFERROR(INDEX(BDH($B$3,"PX_LAST",'01_Parametros'!$B$3,'01_Parametros'!$B$3,"Days=A","Fill=B"),1,2),BDH($B$3,"PX_LAST",'01_Parametros'!$B$3,'01_Parametros'!$B$3,"Days=A","Fill=B"))</f>
        <v/>
      </c>
      <c r="E3" s="8">
        <f>100-D3</f>
        <v/>
      </c>
      <c r="F3" s="8">
        <f>IFERROR(INDEX(BDH($B$3,"PX_LAST",'01_Parametros'!$B$5,'01_Parametros'!$B$5,"Days=A","Fill=B"),1,2),BDH($B$3,"PX_LAST",'01_Parametros'!$B$5,'01_Parametros'!$B$5,"Days=A","Fill=B"))</f>
        <v/>
      </c>
      <c r="G3" s="8">
        <f>100-F3</f>
        <v/>
      </c>
      <c r="H3" s="8">
        <f>IFERROR(INDEX(BDH($B$3,"OPEN_INT",'01_Parametros'!$B$3,'01_Parametros'!$B$3,"Days=A","Fill=B"),1,2),BDH($B$3,"OPEN_INT",'01_Parametros'!$B$3,'01_Parametros'!$B$3,"Days=A","Fill=B"))</f>
        <v/>
      </c>
    </row>
    <row r="4">
      <c r="A4" t="n">
        <v>3</v>
      </c>
      <c r="B4" t="inlineStr">
        <is>
          <t>SFR3 Comdty</t>
        </is>
      </c>
      <c r="C4" t="inlineStr">
        <is>
          <t>SOFR future month 3</t>
        </is>
      </c>
      <c r="D4" s="8">
        <f>IFERROR(INDEX(BDH($B$4,"PX_LAST",'01_Parametros'!$B$3,'01_Parametros'!$B$3,"Days=A","Fill=B"),1,2),BDH($B$4,"PX_LAST",'01_Parametros'!$B$3,'01_Parametros'!$B$3,"Days=A","Fill=B"))</f>
        <v/>
      </c>
      <c r="E4" s="8">
        <f>100-D4</f>
        <v/>
      </c>
      <c r="F4" s="8">
        <f>IFERROR(INDEX(BDH($B$4,"PX_LAST",'01_Parametros'!$B$5,'01_Parametros'!$B$5,"Days=A","Fill=B"),1,2),BDH($B$4,"PX_LAST",'01_Parametros'!$B$5,'01_Parametros'!$B$5,"Days=A","Fill=B"))</f>
        <v/>
      </c>
      <c r="G4" s="8">
        <f>100-F4</f>
        <v/>
      </c>
      <c r="H4" s="8">
        <f>IFERROR(INDEX(BDH($B$4,"OPEN_INT",'01_Parametros'!$B$3,'01_Parametros'!$B$3,"Days=A","Fill=B"),1,2),BDH($B$4,"OPEN_INT",'01_Parametros'!$B$3,'01_Parametros'!$B$3,"Days=A","Fill=B"))</f>
        <v/>
      </c>
    </row>
    <row r="5">
      <c r="A5" t="n">
        <v>4</v>
      </c>
      <c r="B5" t="inlineStr">
        <is>
          <t>SFR4 Comdty</t>
        </is>
      </c>
      <c r="C5" t="inlineStr">
        <is>
          <t>SOFR future month 4</t>
        </is>
      </c>
      <c r="D5" s="8">
        <f>IFERROR(INDEX(BDH($B$5,"PX_LAST",'01_Parametros'!$B$3,'01_Parametros'!$B$3,"Days=A","Fill=B"),1,2),BDH($B$5,"PX_LAST",'01_Parametros'!$B$3,'01_Parametros'!$B$3,"Days=A","Fill=B"))</f>
        <v/>
      </c>
      <c r="E5" s="8">
        <f>100-D5</f>
        <v/>
      </c>
      <c r="F5" s="8">
        <f>IFERROR(INDEX(BDH($B$5,"PX_LAST",'01_Parametros'!$B$5,'01_Parametros'!$B$5,"Days=A","Fill=B"),1,2),BDH($B$5,"PX_LAST",'01_Parametros'!$B$5,'01_Parametros'!$B$5,"Days=A","Fill=B"))</f>
        <v/>
      </c>
      <c r="G5" s="8">
        <f>100-F5</f>
        <v/>
      </c>
      <c r="H5" s="8">
        <f>IFERROR(INDEX(BDH($B$5,"OPEN_INT",'01_Parametros'!$B$3,'01_Parametros'!$B$3,"Days=A","Fill=B"),1,2),BDH($B$5,"OPEN_INT",'01_Parametros'!$B$3,'01_Parametros'!$B$3,"Days=A","Fill=B"))</f>
        <v/>
      </c>
    </row>
    <row r="6">
      <c r="A6" t="n">
        <v>5</v>
      </c>
      <c r="B6" t="inlineStr">
        <is>
          <t>SFR5 Comdty</t>
        </is>
      </c>
      <c r="C6" t="inlineStr">
        <is>
          <t>SOFR future month 5</t>
        </is>
      </c>
      <c r="D6" s="8">
        <f>IFERROR(INDEX(BDH($B$6,"PX_LAST",'01_Parametros'!$B$3,'01_Parametros'!$B$3,"Days=A","Fill=B"),1,2),BDH($B$6,"PX_LAST",'01_Parametros'!$B$3,'01_Parametros'!$B$3,"Days=A","Fill=B"))</f>
        <v/>
      </c>
      <c r="E6" s="8">
        <f>100-D6</f>
        <v/>
      </c>
      <c r="F6" s="8">
        <f>IFERROR(INDEX(BDH($B$6,"PX_LAST",'01_Parametros'!$B$5,'01_Parametros'!$B$5,"Days=A","Fill=B"),1,2),BDH($B$6,"PX_LAST",'01_Parametros'!$B$5,'01_Parametros'!$B$5,"Days=A","Fill=B"))</f>
        <v/>
      </c>
      <c r="G6" s="8">
        <f>100-F6</f>
        <v/>
      </c>
      <c r="H6" s="8">
        <f>IFERROR(INDEX(BDH($B$6,"OPEN_INT",'01_Parametros'!$B$3,'01_Parametros'!$B$3,"Days=A","Fill=B"),1,2),BDH($B$6,"OPEN_INT",'01_Parametros'!$B$3,'01_Parametros'!$B$3,"Days=A","Fill=B"))</f>
        <v/>
      </c>
    </row>
    <row r="7">
      <c r="A7" t="n">
        <v>6</v>
      </c>
      <c r="B7" t="inlineStr">
        <is>
          <t>SFR6 Comdty</t>
        </is>
      </c>
      <c r="C7" t="inlineStr">
        <is>
          <t>SOFR future month 6</t>
        </is>
      </c>
      <c r="D7" s="8">
        <f>IFERROR(INDEX(BDH($B$7,"PX_LAST",'01_Parametros'!$B$3,'01_Parametros'!$B$3,"Days=A","Fill=B"),1,2),BDH($B$7,"PX_LAST",'01_Parametros'!$B$3,'01_Parametros'!$B$3,"Days=A","Fill=B"))</f>
        <v/>
      </c>
      <c r="E7" s="8">
        <f>100-D7</f>
        <v/>
      </c>
      <c r="F7" s="8">
        <f>IFERROR(INDEX(BDH($B$7,"PX_LAST",'01_Parametros'!$B$5,'01_Parametros'!$B$5,"Days=A","Fill=B"),1,2),BDH($B$7,"PX_LAST",'01_Parametros'!$B$5,'01_Parametros'!$B$5,"Days=A","Fill=B"))</f>
        <v/>
      </c>
      <c r="G7" s="8">
        <f>100-F7</f>
        <v/>
      </c>
      <c r="H7" s="8">
        <f>IFERROR(INDEX(BDH($B$7,"OPEN_INT",'01_Parametros'!$B$3,'01_Parametros'!$B$3,"Days=A","Fill=B"),1,2),BDH($B$7,"OPEN_INT",'01_Parametros'!$B$3,'01_Parametros'!$B$3,"Days=A","Fill=B"))</f>
        <v/>
      </c>
    </row>
    <row r="8">
      <c r="A8" t="n">
        <v>7</v>
      </c>
      <c r="B8" t="inlineStr">
        <is>
          <t>SFR7 Comdty</t>
        </is>
      </c>
      <c r="C8" t="inlineStr">
        <is>
          <t>SOFR future month 7</t>
        </is>
      </c>
      <c r="D8" s="8">
        <f>IFERROR(INDEX(BDH($B$8,"PX_LAST",'01_Parametros'!$B$3,'01_Parametros'!$B$3,"Days=A","Fill=B"),1,2),BDH($B$8,"PX_LAST",'01_Parametros'!$B$3,'01_Parametros'!$B$3,"Days=A","Fill=B"))</f>
        <v/>
      </c>
      <c r="E8" s="8">
        <f>100-D8</f>
        <v/>
      </c>
      <c r="F8" s="8">
        <f>IFERROR(INDEX(BDH($B$8,"PX_LAST",'01_Parametros'!$B$5,'01_Parametros'!$B$5,"Days=A","Fill=B"),1,2),BDH($B$8,"PX_LAST",'01_Parametros'!$B$5,'01_Parametros'!$B$5,"Days=A","Fill=B"))</f>
        <v/>
      </c>
      <c r="G8" s="8">
        <f>100-F8</f>
        <v/>
      </c>
      <c r="H8" s="8">
        <f>IFERROR(INDEX(BDH($B$8,"OPEN_INT",'01_Parametros'!$B$3,'01_Parametros'!$B$3,"Days=A","Fill=B"),1,2),BDH($B$8,"OPEN_INT",'01_Parametros'!$B$3,'01_Parametros'!$B$3,"Days=A","Fill=B"))</f>
        <v/>
      </c>
    </row>
    <row r="9">
      <c r="A9" t="n">
        <v>8</v>
      </c>
      <c r="B9" t="inlineStr">
        <is>
          <t>SFR8 Comdty</t>
        </is>
      </c>
      <c r="C9" t="inlineStr">
        <is>
          <t>SOFR future month 8</t>
        </is>
      </c>
      <c r="D9" s="8">
        <f>IFERROR(INDEX(BDH($B$9,"PX_LAST",'01_Parametros'!$B$3,'01_Parametros'!$B$3,"Days=A","Fill=B"),1,2),BDH($B$9,"PX_LAST",'01_Parametros'!$B$3,'01_Parametros'!$B$3,"Days=A","Fill=B"))</f>
        <v/>
      </c>
      <c r="E9" s="8">
        <f>100-D9</f>
        <v/>
      </c>
      <c r="F9" s="8">
        <f>IFERROR(INDEX(BDH($B$9,"PX_LAST",'01_Parametros'!$B$5,'01_Parametros'!$B$5,"Days=A","Fill=B"),1,2),BDH($B$9,"PX_LAST",'01_Parametros'!$B$5,'01_Parametros'!$B$5,"Days=A","Fill=B"))</f>
        <v/>
      </c>
      <c r="G9" s="8">
        <f>100-F9</f>
        <v/>
      </c>
      <c r="H9" s="8">
        <f>IFERROR(INDEX(BDH($B$9,"OPEN_INT",'01_Parametros'!$B$3,'01_Parametros'!$B$3,"Days=A","Fill=B"),1,2),BDH($B$9,"OPEN_INT",'01_Parametros'!$B$3,'01_Parametros'!$B$3,"Days=A","Fill=B"))</f>
        <v/>
      </c>
    </row>
    <row r="12">
      <c r="A12" s="6" t="inlineStr">
        <is>
          <t>Nota</t>
        </is>
      </c>
      <c r="B12" t="inlineStr">
        <is>
          <t>SFRn Comdty = continuous front-month rolling future n (n=1 es el primer vencimiento activo).</t>
        </is>
      </c>
    </row>
    <row r="13">
      <c r="B13" t="inlineStr">
        <is>
          <t>Implied rate = 100 - price (convencion CME).</t>
        </is>
      </c>
    </row>
    <row r="14">
      <c r="B14" t="inlineStr">
        <is>
          <t>Si el ticker continuous no esta disponible, sustituir por el codigo del contrato especifico (ej. SFRZ6 Comdty para dic-2026).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>
      <c r="A1" s="2" t="inlineStr">
        <is>
          <t>FedWatch — paste manual desde pantalla WIRP de Bloomberg</t>
        </is>
      </c>
    </row>
    <row r="2">
      <c r="A2" s="11" t="inlineStr">
        <is>
          <t>Pegar como valores. Esta hoja NO tiene formulas BDP.</t>
        </is>
      </c>
    </row>
    <row r="4">
      <c r="A4" s="5" t="inlineStr">
        <is>
          <t>meeting_date</t>
        </is>
      </c>
      <c r="B4" s="5" t="inlineStr">
        <is>
          <t>current_rate_implied</t>
        </is>
      </c>
      <c r="C4" s="5" t="inlineStr">
        <is>
          <t>prob_-50bps</t>
        </is>
      </c>
      <c r="D4" s="5" t="inlineStr">
        <is>
          <t>prob_-25bps</t>
        </is>
      </c>
      <c r="E4" s="5" t="inlineStr">
        <is>
          <t>prob_0bps</t>
        </is>
      </c>
      <c r="F4" s="5" t="inlineStr">
        <is>
          <t>prob_+25bps</t>
        </is>
      </c>
      <c r="G4" s="5" t="inlineStr">
        <is>
          <t>prob_+50bps</t>
        </is>
      </c>
      <c r="H4" s="5" t="inlineStr">
        <is>
          <t>notas</t>
        </is>
      </c>
    </row>
    <row r="5">
      <c r="A5" s="12" t="n"/>
      <c r="B5" s="10" t="n"/>
      <c r="C5" s="10" t="n"/>
      <c r="D5" s="10" t="n"/>
      <c r="E5" s="10" t="n"/>
      <c r="F5" s="10" t="n"/>
      <c r="G5" s="10" t="n"/>
    </row>
    <row r="6">
      <c r="A6" s="12" t="n"/>
      <c r="B6" s="10" t="n"/>
      <c r="C6" s="10" t="n"/>
      <c r="D6" s="10" t="n"/>
      <c r="E6" s="10" t="n"/>
      <c r="F6" s="10" t="n"/>
      <c r="G6" s="10" t="n"/>
    </row>
    <row r="7">
      <c r="A7" s="12" t="n"/>
      <c r="B7" s="10" t="n"/>
      <c r="C7" s="10" t="n"/>
      <c r="D7" s="10" t="n"/>
      <c r="E7" s="10" t="n"/>
      <c r="F7" s="10" t="n"/>
      <c r="G7" s="10" t="n"/>
    </row>
    <row r="8">
      <c r="A8" s="12" t="n"/>
      <c r="B8" s="10" t="n"/>
      <c r="C8" s="10" t="n"/>
      <c r="D8" s="10" t="n"/>
      <c r="E8" s="10" t="n"/>
      <c r="F8" s="10" t="n"/>
      <c r="G8" s="10" t="n"/>
    </row>
    <row r="9">
      <c r="A9" s="12" t="n"/>
      <c r="B9" s="10" t="n"/>
      <c r="C9" s="10" t="n"/>
      <c r="D9" s="10" t="n"/>
      <c r="E9" s="10" t="n"/>
      <c r="F9" s="10" t="n"/>
      <c r="G9" s="10" t="n"/>
    </row>
    <row r="10">
      <c r="A10" s="12" t="n"/>
      <c r="B10" s="10" t="n"/>
      <c r="C10" s="10" t="n"/>
      <c r="D10" s="10" t="n"/>
      <c r="E10" s="10" t="n"/>
      <c r="F10" s="10" t="n"/>
      <c r="G10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4" t="inlineStr">
        <is>
          <t>Notas del analista</t>
        </is>
      </c>
    </row>
    <row r="3">
      <c r="A3" s="13" t="inlineStr">
        <is>
          <t>Cualquier observacion: tickers que fallaron, eventos del mes, anomalias, sugerencias.</t>
        </is>
      </c>
    </row>
    <row r="5">
      <c r="A5" s="6" t="inlineStr">
        <is>
          <t>Tickers fallidos / corregidos</t>
        </is>
      </c>
    </row>
    <row r="6">
      <c r="A6" t="inlineStr">
        <is>
          <t>—</t>
        </is>
      </c>
      <c r="B6" s="10" t="inlineStr"/>
    </row>
    <row r="7">
      <c r="A7" t="inlineStr">
        <is>
          <t>—</t>
        </is>
      </c>
      <c r="B7" s="10" t="inlineStr"/>
    </row>
    <row r="8">
      <c r="A8" t="inlineStr">
        <is>
          <t>—</t>
        </is>
      </c>
      <c r="B8" s="10" t="inlineStr"/>
    </row>
    <row r="9">
      <c r="A9" t="inlineStr">
        <is>
          <t>—</t>
        </is>
      </c>
      <c r="B9" s="10" t="inlineStr"/>
    </row>
    <row r="10">
      <c r="A10" t="inlineStr">
        <is>
          <t>—</t>
        </is>
      </c>
      <c r="B10" s="10" t="inlineStr"/>
    </row>
    <row r="11">
      <c r="A11" t="inlineStr">
        <is>
          <t>—</t>
        </is>
      </c>
      <c r="B11" s="10" t="inlineStr"/>
    </row>
    <row r="12">
      <c r="A12" t="inlineStr">
        <is>
          <t>—</t>
        </is>
      </c>
      <c r="B12" s="10" t="inlineStr"/>
    </row>
    <row r="13">
      <c r="A13" t="inlineStr">
        <is>
          <t>—</t>
        </is>
      </c>
      <c r="B13" s="10" t="inlineStr"/>
    </row>
    <row r="14">
      <c r="A14" t="inlineStr">
        <is>
          <t>—</t>
        </is>
      </c>
      <c r="B14" s="10" t="inlineStr"/>
    </row>
    <row r="15">
      <c r="A15" t="inlineStr">
        <is>
          <t>—</t>
        </is>
      </c>
      <c r="B15" s="10" t="inlineStr"/>
    </row>
    <row r="17">
      <c r="A17" s="6" t="inlineStr">
        <is>
          <t>Eventos relevantes del mes</t>
        </is>
      </c>
    </row>
    <row r="18">
      <c r="B18" s="10" t="inlineStr"/>
    </row>
    <row r="19">
      <c r="B19" s="10" t="inlineStr"/>
    </row>
    <row r="20">
      <c r="B20" s="10" t="inlineStr"/>
    </row>
    <row r="21">
      <c r="B21" s="10" t="inlineStr"/>
    </row>
    <row r="22">
      <c r="B22" s="10" t="inlineStr"/>
    </row>
    <row r="23">
      <c r="B23" s="10" t="inlineStr"/>
    </row>
    <row r="24">
      <c r="B24" s="10" t="inlineStr"/>
    </row>
    <row r="25">
      <c r="B25" s="10" t="inlineStr"/>
    </row>
    <row r="26">
      <c r="B26" s="10" t="inlineStr"/>
    </row>
    <row r="27">
      <c r="B27" s="10" t="inlineStr"/>
    </row>
    <row r="29">
      <c r="A29" s="6" t="inlineStr">
        <is>
          <t>Sugerencias para el corte siguiente</t>
        </is>
      </c>
    </row>
    <row r="30">
      <c r="B30" s="10" t="inlineStr"/>
    </row>
    <row r="31">
      <c r="B31" s="10" t="inlineStr"/>
    </row>
    <row r="32">
      <c r="B32" s="10" t="inlineStr"/>
    </row>
    <row r="33">
      <c r="B33" s="10" t="inlineStr"/>
    </row>
    <row r="34">
      <c r="B34" s="10" t="inlineStr"/>
    </row>
    <row r="35">
      <c r="B35" s="10" t="inlineStr"/>
    </row>
    <row r="36">
      <c r="B36" s="10" t="inlineStr"/>
    </row>
    <row r="37">
      <c r="B37" s="10" t="inlineStr"/>
    </row>
    <row r="38">
      <c r="B38" s="10" t="inlineStr"/>
    </row>
    <row r="39">
      <c r="B39" s="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Como devolver este archivo</t>
        </is>
      </c>
    </row>
    <row r="2">
      <c r="A2" t="inlineStr"/>
    </row>
    <row r="3">
      <c r="A3" s="2" t="inlineStr">
        <is>
          <t>OPCION 1 — Recomendada — Upload directo a GitHub (web)</t>
        </is>
      </c>
    </row>
    <row r="4">
      <c r="A4" s="14" t="inlineStr">
        <is>
          <t>1. Guardar el archivo con nombre: BloombergTemplate_TasasMercantil_&lt;YYYY-MM&gt;.xlsx</t>
        </is>
      </c>
    </row>
    <row r="5">
      <c r="A5" s="14" t="inlineStr">
        <is>
          <t>2. En el navegador (incluido movil) ir a: github.com/andresborrerom/credito_Panama</t>
        </is>
      </c>
    </row>
    <row r="6">
      <c r="A6" s="14" t="inlineStr">
        <is>
          <t>3. Cambiar al branch: claude/tasas-mercantil-report-Q8sFt</t>
        </is>
      </c>
    </row>
    <row r="7">
      <c r="A7" s="14" t="inlineStr">
        <is>
          <t>4. Navegar a la carpeta: ProyectoTasasMercantil/cortes/&lt;YYYY-MM&gt;/input/</t>
        </is>
      </c>
    </row>
    <row r="8">
      <c r="A8" s="14" t="inlineStr">
        <is>
          <t xml:space="preserve">   (si no existe, crearla con 'Add file -&gt; Create new file' y nombre 'input/.gitkeep')</t>
        </is>
      </c>
    </row>
    <row r="9">
      <c r="A9" s="14" t="inlineStr">
        <is>
          <t>5. 'Add file' -&gt; 'Upload files' -&gt; arrastrar el xlsx</t>
        </is>
      </c>
    </row>
    <row r="10">
      <c r="A10" s="14" t="inlineStr">
        <is>
          <t>6. Commit message sugerido: 'ingest(corte YYYY-MM): input Bloomberg cargado por &lt;analista&gt;'</t>
        </is>
      </c>
    </row>
    <row r="11">
      <c r="A11" s="14" t="inlineStr">
        <is>
          <t>7. Click 'Commit changes'.</t>
        </is>
      </c>
    </row>
    <row r="12">
      <c r="A12" t="inlineStr"/>
    </row>
    <row r="13">
      <c r="A13" s="2" t="inlineStr">
        <is>
          <t>OPCION 2 — Correo electronico</t>
        </is>
      </c>
    </row>
    <row r="14">
      <c r="A14" s="14" t="inlineStr">
        <is>
          <t>Enviar el .xlsx por correo al equipo (Andres + Camilo + Claude session si aplica).</t>
        </is>
      </c>
    </row>
    <row r="15">
      <c r="A15" s="14" t="inlineStr">
        <is>
          <t>Asunto sugerido: 'Tasas Mercantil — Input Bloomberg &lt;YYYY-MM&gt;'</t>
        </is>
      </c>
    </row>
    <row r="16">
      <c r="A16" s="14" t="inlineStr">
        <is>
          <t>Quien recibe se encarga del upload a GitHub.</t>
        </is>
      </c>
    </row>
    <row r="17">
      <c r="A17" t="inlineStr"/>
    </row>
    <row r="18">
      <c r="A18" s="2" t="inlineStr">
        <is>
          <t>OPCION 3 — OneDrive compartido (si la organizacion lo prefiere)</t>
        </is>
      </c>
    </row>
    <row r="19">
      <c r="A19" s="14" t="inlineStr">
        <is>
          <t>Subir a OneDrive en una carpeta acordada. La sincronizacion local hace el resto si esta configurada.</t>
        </is>
      </c>
    </row>
    <row r="20">
      <c r="A20" s="14" t="inlineStr">
        <is>
          <t>No es la via mas directa pero funciona si el flujo organizacional lo requiere.</t>
        </is>
      </c>
    </row>
    <row r="21">
      <c r="A21" t="inlineStr"/>
    </row>
    <row r="22">
      <c r="A22" s="2" t="inlineStr">
        <is>
          <t>Verificacion despues de subir</t>
        </is>
      </c>
    </row>
    <row r="23">
      <c r="A23" s="14" t="inlineStr">
        <is>
          <t>Una vez cargado, el equipo abre una sesion y corre el pipeline de validacion.</t>
        </is>
      </c>
    </row>
    <row r="24">
      <c r="A24" s="14" t="inlineStr">
        <is>
          <t>Si el archivo paso validacion, llega confirmacion. Si fallo, llega lista de campos a revisar.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2026-06-20T23:29:13Z</dcterms:created>
  <dcterms:modified xmlns:dcterms="http://purl.org/dc/terms/" xmlns:xsi="http://www.w3.org/2001/XMLSchema-instance" xsi:type="dcterms:W3CDTF">2026-06-20T23:29:13Z</dcterms:modified>
</cp:coreProperties>
</file>