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tornos Esperados" sheetId="1" state="visible" r:id="rId1"/>
  </sheets>
  <externalReferences>
    <externalReference r:id="rId2"/>
    <externalReference r:id="rId3"/>
    <externalReference r:id="rId4"/>
    <externalReference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0.0000%"/>
    <numFmt numFmtId="166" formatCode="0.000%"/>
    <numFmt numFmtId="167" formatCode="0.0%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b val="1"/>
      <color rgb="000E2A47"/>
    </font>
    <font>
      <b val="1"/>
      <i val="1"/>
      <color rgb="000E2A47"/>
      <sz val="10"/>
    </font>
    <font>
      <i val="1"/>
      <color rgb="00555555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D6E9DD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7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164" fontId="1" fillId="0" borderId="0" applyAlignment="1" pivotButton="0" quotePrefix="0" xfId="1">
      <alignment horizontal="right" vertical="center"/>
    </xf>
    <xf numFmtId="164" fontId="3" fillId="0" borderId="0" applyAlignment="1" pivotButton="0" quotePrefix="0" xfId="1">
      <alignment horizontal="right" vertical="center"/>
    </xf>
    <xf numFmtId="10" fontId="3" fillId="2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center" vertical="center"/>
    </xf>
    <xf numFmtId="166" fontId="0" fillId="0" borderId="0" applyAlignment="1" pivotButton="0" quotePrefix="0" xfId="2">
      <alignment horizontal="right" vertical="center"/>
    </xf>
    <xf numFmtId="0" fontId="0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0" fontId="1" fillId="0" borderId="0" applyAlignment="1" pivotButton="0" quotePrefix="0" xfId="2">
      <alignment horizontal="right" vertical="center"/>
    </xf>
    <xf numFmtId="9" fontId="0" fillId="0" borderId="0" applyAlignment="1" pivotButton="0" quotePrefix="0" xfId="0">
      <alignment horizontal="right" vertical="center"/>
    </xf>
    <xf numFmtId="9" fontId="1" fillId="2" borderId="0" applyAlignment="1" pivotButton="0" quotePrefix="0" xfId="1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9" fontId="3" fillId="0" borderId="0" applyAlignment="1" pivotButton="0" quotePrefix="0" xfId="1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10" fontId="0" fillId="4" borderId="6" applyAlignment="1" pivotButton="0" quotePrefix="0" xfId="0">
      <alignment horizontal="center" vertical="center"/>
    </xf>
    <xf numFmtId="10" fontId="3" fillId="0" borderId="0" applyAlignment="1" pivotButton="0" quotePrefix="0" xfId="2">
      <alignment horizontal="center" vertical="center"/>
    </xf>
    <xf numFmtId="10" fontId="0" fillId="0" borderId="5" applyAlignment="1" pivotButton="0" quotePrefix="0" xfId="2">
      <alignment horizontal="center" vertical="center"/>
    </xf>
    <xf numFmtId="10" fontId="1" fillId="0" borderId="0" applyAlignment="1" pivotButton="0" quotePrefix="0" xfId="2">
      <alignment horizontal="center" vertical="center"/>
    </xf>
    <xf numFmtId="167" fontId="1" fillId="0" borderId="0" applyAlignment="1" pivotButton="0" quotePrefix="0" xfId="2">
      <alignment horizontal="center" vertical="center"/>
    </xf>
    <xf numFmtId="10" fontId="1" fillId="0" borderId="6" applyAlignment="1" pivotButton="0" quotePrefix="0" xfId="2">
      <alignment horizontal="center" vertical="center"/>
    </xf>
    <xf numFmtId="164" fontId="0" fillId="0" borderId="7" applyAlignment="1" pivotButton="0" quotePrefix="0" xfId="1">
      <alignment horizontal="center" vertical="center"/>
    </xf>
    <xf numFmtId="10" fontId="0" fillId="0" borderId="5" applyAlignment="1" pivotButton="0" quotePrefix="0" xfId="0">
      <alignment horizontal="center" vertical="center"/>
    </xf>
    <xf numFmtId="10" fontId="0" fillId="0" borderId="0" applyAlignment="1" pivotButton="0" quotePrefix="0" xfId="2">
      <alignment horizontal="center" vertical="center"/>
    </xf>
    <xf numFmtId="10" fontId="0" fillId="0" borderId="6" applyAlignment="1" pivotButton="0" quotePrefix="0" xfId="2">
      <alignment horizontal="center" vertical="center"/>
    </xf>
    <xf numFmtId="9" fontId="3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4" borderId="6" applyAlignment="1" pivotButton="0" quotePrefix="0" xfId="0">
      <alignment horizontal="center" vertical="center"/>
    </xf>
    <xf numFmtId="167" fontId="1" fillId="0" borderId="0" applyAlignment="1" pivotButton="0" quotePrefix="0" xfId="2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0" fontId="3" fillId="0" borderId="10" applyAlignment="1" pivotButton="0" quotePrefix="0" xfId="2">
      <alignment horizontal="center" vertical="center"/>
    </xf>
    <xf numFmtId="10" fontId="0" fillId="0" borderId="8" applyAlignment="1" pivotButton="0" quotePrefix="0" xfId="2">
      <alignment horizontal="center" vertical="center"/>
    </xf>
    <xf numFmtId="10" fontId="0" fillId="0" borderId="10" applyAlignment="1" pivotButton="0" quotePrefix="0" xfId="2">
      <alignment horizontal="center" vertical="center"/>
    </xf>
    <xf numFmtId="167" fontId="1" fillId="0" borderId="10" applyAlignment="1" pivotButton="0" quotePrefix="0" xfId="2">
      <alignment horizontal="center" vertical="center"/>
    </xf>
    <xf numFmtId="10" fontId="1" fillId="0" borderId="9" applyAlignment="1" pivotButton="0" quotePrefix="0" xfId="2">
      <alignment horizontal="center" vertical="center"/>
    </xf>
    <xf numFmtId="167" fontId="3" fillId="0" borderId="10" applyAlignment="1" pivotButton="0" quotePrefix="0" xfId="2">
      <alignment horizontal="center" vertical="center"/>
    </xf>
    <xf numFmtId="164" fontId="0" fillId="0" borderId="11" applyAlignment="1" pivotButton="0" quotePrefix="0" xfId="1">
      <alignment horizontal="center" vertical="center"/>
    </xf>
    <xf numFmtId="0" fontId="0" fillId="0" borderId="10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0" fontId="0" fillId="0" borderId="10" applyAlignment="1" pivotButton="0" quotePrefix="0" xfId="2">
      <alignment horizontal="center" vertical="center"/>
    </xf>
    <xf numFmtId="10" fontId="0" fillId="0" borderId="9" applyAlignment="1" pivotButton="0" quotePrefix="0" xfId="2">
      <alignment horizontal="center" vertical="center"/>
    </xf>
    <xf numFmtId="9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10" fontId="3" fillId="2" borderId="12" applyAlignment="1" pivotButton="0" quotePrefix="0" xfId="2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0" borderId="0" pivotButton="0" quotePrefix="0" xfId="0"/>
    <xf numFmtId="164" fontId="1" fillId="0" borderId="0" applyAlignment="1" pivotButton="0" quotePrefix="0" xfId="1">
      <alignment horizontal="right" vertical="center"/>
    </xf>
    <xf numFmtId="164" fontId="3" fillId="0" borderId="0" applyAlignment="1" pivotButton="0" quotePrefix="0" xfId="1">
      <alignment horizontal="right" vertical="center"/>
    </xf>
    <xf numFmtId="165" fontId="3" fillId="0" borderId="0" applyAlignment="1" pivotButton="0" quotePrefix="0" xfId="0">
      <alignment horizontal="center" vertical="center"/>
    </xf>
    <xf numFmtId="166" fontId="0" fillId="0" borderId="0" applyAlignment="1" pivotButton="0" quotePrefix="0" xfId="2">
      <alignment horizontal="right" vertical="center"/>
    </xf>
    <xf numFmtId="165" fontId="5" fillId="6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7" fontId="1" fillId="0" borderId="0" applyAlignment="1" pivotButton="0" quotePrefix="0" xfId="2">
      <alignment horizontal="center" vertical="center"/>
    </xf>
    <xf numFmtId="164" fontId="0" fillId="0" borderId="7" applyAlignment="1" pivotButton="0" quotePrefix="0" xfId="1">
      <alignment horizontal="center" vertical="center"/>
    </xf>
    <xf numFmtId="167" fontId="1" fillId="0" borderId="10" applyAlignment="1" pivotButton="0" quotePrefix="0" xfId="2">
      <alignment horizontal="center" vertical="center"/>
    </xf>
    <xf numFmtId="167" fontId="3" fillId="0" borderId="10" applyAlignment="1" pivotButton="0" quotePrefix="0" xfId="2">
      <alignment horizontal="center" vertical="center"/>
    </xf>
    <xf numFmtId="164" fontId="0" fillId="0" borderId="11" applyAlignment="1" pivotButton="0" quotePrefix="0" xfId="1">
      <alignment horizontal="center" vertical="center"/>
    </xf>
  </cellXfs>
  <cellStyles count="3">
    <cellStyle name="Normal" xfId="0" builtinId="0"/>
    <cellStyle name="Millares" xfId="1" builtinId="3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94205</colOff>
      <row>7</row>
      <rowOff>174491</rowOff>
    </from>
    <to>
      <col>5</col>
      <colOff>1285266</colOff>
      <row>13</row>
      <rowOff>20935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656555" y="1565141"/>
          <a:ext cx="1962586" cy="989444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mercantilbanco-my.sharepoint.com/personal/amoya_bancomercantil_com/Documents/MSC%20y%20Luz%20Capital/Presupuesto%202026/MSFI%20-%20Mapeo%20de%20Portafolios%20y%20Benchmarks%20(1)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mercantilbanco-my.sharepoint.com/personal/amoya_bancomercantil_com/Documents/MSC%20y%20Luz%20Capital/1.%20PORTAFOLIO%20LUZ/Luz%20Capital%20-%20Seguimiento%20de%20Portafolio%20-%20V2026-2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b730254\Downloads\MSFI%20-%20Mapeo%20de%20Portafolios%20y%20Benchmarks%20v1.xlsb" TargetMode="External" Id="rId2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Users\b730254\Downloads\Luz%20Capital%20-%20FCST%202026%20-%205+7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peo de Portafolios"/>
      <sheetName val="Building Blocks - ETFs"/>
      <sheetName val="Exp. Ret."/>
      <sheetName val="Luz"/>
      <sheetName val="MSI Trad"/>
      <sheetName val="MSI Trading"/>
      <sheetName val="MBS"/>
      <sheetName val="MBSchweiz"/>
      <sheetName val="MSYR"/>
      <sheetName val="MSYReas"/>
      <sheetName val="MBSA"/>
      <sheetName val="Optima"/>
      <sheetName val="MBSA."/>
      <sheetName val="MFSI"/>
    </sheetNames>
    <sheetDataSet>
      <sheetData sheetId="0" refreshError="1">
        <row r="2">
          <cell r="A2" t="str">
            <v>Treasury Bills</v>
          </cell>
        </row>
        <row r="3">
          <cell r="A3" t="str">
            <v>Treasury Notes</v>
          </cell>
        </row>
        <row r="4">
          <cell r="A4" t="str">
            <v>High Yield Bonds</v>
          </cell>
        </row>
        <row r="5">
          <cell r="A5" t="str">
            <v>Investment-Grade Bonds</v>
          </cell>
        </row>
        <row r="7">
          <cell r="A7" t="str">
            <v>Equities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oporte Benchmarks"/>
      <sheetName val="FIM Asset View"/>
      <sheetName val="ETFs Rating"/>
      <sheetName val="Escenarios Stop Loss"/>
      <sheetName val="Plan de Acción Luz"/>
      <sheetName val="Flujo de Caja"/>
      <sheetName val="Seguimiento Puts"/>
      <sheetName val="Trade Blotter-Checklist"/>
      <sheetName val="BbgResearchPubStorageWorksheet"/>
      <sheetName val="Performance vs Benchmark"/>
      <sheetName val="Equivalencia RF"/>
      <sheetName val="Métricas RF"/>
      <sheetName val="Tablas"/>
      <sheetName val="Portafolio RV"/>
      <sheetName val="Portafolio RF"/>
      <sheetName val="Benchmark RV Composition"/>
      <sheetName val="Portafolio Consolidado"/>
      <sheetName val="Trade Estadístic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3">
          <cell r="C3" t="str">
            <v>BIL US Equity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Mapeo de Portafolios"/>
      <sheetName val="Building Blocks - ETFs"/>
      <sheetName val="Exp. Ret."/>
      <sheetName val="Luz"/>
      <sheetName val="MSI Trad"/>
      <sheetName val="MSI Trading"/>
      <sheetName val="MBS"/>
      <sheetName val="MBSchweiz"/>
      <sheetName val="MSYR"/>
      <sheetName val="MSYReas"/>
      <sheetName val="MBSA"/>
      <sheetName val="Optima"/>
      <sheetName val="MBSA."/>
      <sheetName val="MFSI"/>
      <sheetName val="Datos"/>
      <sheetName val="F.Eff"/>
      <sheetName val="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3">
          <cell r="AN3">
            <v>3.5541120512294702E-2</v>
          </cell>
          <cell r="AO3">
            <v>3.7369553416723031E-2</v>
          </cell>
        </row>
      </sheetData>
      <sheetData sheetId="1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Building Blocks - ETFs"/>
      <sheetName val="Exp. Ret."/>
      <sheetName val="Benchmark y Portafolio"/>
      <sheetName val="Plan de Negocios - Gastos"/>
      <sheetName val="Plan de Negocios - Proyección"/>
      <sheetName val="Proy. Liq. Corp"/>
      <sheetName val="PPTO 2026 - Base"/>
      <sheetName val="Retornos Esperados"/>
      <sheetName val="FCST 2026 - 5+7"/>
      <sheetName val="Preguntas"/>
      <sheetName val="Resumen"/>
      <sheetName val="PPTO 2026 - Agresivo"/>
      <sheetName val="PPTO 2026 - Agresivo Eq10%"/>
      <sheetName val="FCST 2025 vs PPTO 2025"/>
      <sheetName val="PPTO 2026 vs PPTO 2025"/>
      <sheetName val="PPTO 2026 vs FCST 2025"/>
      <sheetName val="PDN 5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H18">
            <v>5.8050983198822126E-2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0" tint="-0.1499984740745262"/>
    <outlinePr summaryBelow="1" summaryRight="1"/>
    <pageSetUpPr/>
  </sheetPr>
  <dimension ref="A1:S38"/>
  <sheetViews>
    <sheetView showGridLines="0" tabSelected="1" topLeftCell="A6" zoomScale="124" zoomScaleNormal="124" workbookViewId="0">
      <selection activeCell="D30" sqref="D30"/>
    </sheetView>
  </sheetViews>
  <sheetFormatPr baseColWidth="10" defaultColWidth="11.5703125" defaultRowHeight="15"/>
  <cols>
    <col width="2.42578125" customWidth="1" style="18" min="1" max="1"/>
    <col width="37" customWidth="1" style="18" min="2" max="2"/>
    <col width="14" customWidth="1" style="18" min="3" max="3"/>
    <col width="2" customWidth="1" style="18" min="4" max="4"/>
    <col width="9.5703125" customWidth="1" style="18" min="5" max="5"/>
    <col width="29.42578125" customWidth="1" style="18" min="6" max="6"/>
    <col width="24.28515625" customWidth="1" style="18" min="7" max="7"/>
    <col width="13.140625" customWidth="1" style="18" min="8" max="8"/>
    <col width="2.28515625" customWidth="1" style="18" min="9" max="9"/>
    <col width="9.28515625" customWidth="1" style="18" min="10" max="10"/>
    <col width="2.85546875" customWidth="1" style="18" min="11" max="11"/>
    <col width="19.5703125" customWidth="1" style="18" min="12" max="12"/>
    <col width="20.140625" customWidth="1" style="18" min="13" max="13"/>
    <col width="18.7109375" customWidth="1" style="18" min="14" max="14"/>
    <col width="18.42578125" customWidth="1" style="18" min="15" max="15"/>
    <col width="16.85546875" customWidth="1" style="18" min="16" max="16"/>
    <col width="4.7109375" customWidth="1" style="18" min="17" max="17"/>
    <col width="12.28515625" customWidth="1" style="18" min="18" max="18"/>
    <col width="12.42578125" customWidth="1" style="18" min="19" max="19"/>
    <col width="11.5703125" customWidth="1" style="18" min="20" max="16384"/>
  </cols>
  <sheetData>
    <row r="1" ht="14.25" customHeight="1">
      <c r="B1" s="63" t="inlineStr">
        <is>
          <t>⚙️ Versión derivada: input línea 13 actualizado con modelo Mercantil v0.3.0 (-9.6 bps). Ver sugerencia_input_mercantil_v0.3.0.md.</t>
        </is>
      </c>
    </row>
    <row r="2" ht="14.25" customHeight="1">
      <c r="B2" s="2" t="inlineStr">
        <is>
          <t>Revisión de Retornos Esperados:</t>
        </is>
      </c>
      <c r="C2" s="3" t="n"/>
      <c r="D2" s="4" t="n"/>
      <c r="E2" s="4" t="n"/>
      <c r="I2" s="4" t="n"/>
    </row>
    <row r="3" ht="14.25" customHeight="1">
      <c r="B3" s="5" t="inlineStr">
        <is>
          <t>La Fed no subiría tasas en 2026 (vs WIRP que descuenta casi una subida en diciembre 2026). Esto es consistente con múltiplos de stocks sin cambios.</t>
        </is>
      </c>
      <c r="C3" s="3" t="n"/>
      <c r="D3" s="4" t="n"/>
      <c r="E3" s="4" t="n"/>
      <c r="I3" s="4" t="n"/>
    </row>
    <row r="4" ht="14.25" customHeight="1">
      <c r="B4" s="5" t="inlineStr">
        <is>
          <t>Spreads estables. Sin espacio a compresión.</t>
        </is>
      </c>
      <c r="C4" s="3" t="n"/>
      <c r="D4" s="4" t="n"/>
      <c r="E4" s="4" t="n"/>
      <c r="I4" s="4" t="n"/>
    </row>
    <row r="5" ht="14.25" customHeight="1">
      <c r="B5" s="5" t="inlineStr">
        <is>
          <t>Si se desacelera la economía y se abren lo spreads, la expectativa de tasas de interés caería, compensando pérdidas por spreads.</t>
        </is>
      </c>
      <c r="C5" s="3" t="n"/>
      <c r="D5" s="4" t="n"/>
      <c r="E5" s="4" t="n"/>
      <c r="I5" s="4" t="n"/>
    </row>
    <row r="6" ht="23.25" customHeight="1">
      <c r="B6" s="4" t="n"/>
      <c r="C6" s="3" t="n"/>
      <c r="D6" s="4" t="n"/>
      <c r="E6" s="4" t="n"/>
      <c r="I6" s="4" t="n"/>
    </row>
    <row r="7">
      <c r="B7" s="2" t="inlineStr">
        <is>
          <t>1. Metodología de cálculo:</t>
        </is>
      </c>
      <c r="C7" s="3" t="n"/>
      <c r="D7" s="4" t="n"/>
      <c r="H7" s="4" t="n"/>
      <c r="I7" s="4" t="n"/>
    </row>
    <row r="8">
      <c r="B8" s="6" t="inlineStr">
        <is>
          <t>1.1. Expected Return RF: carry o yield actual + variaciones de tasas (en comparación con WIRP)</t>
        </is>
      </c>
      <c r="H8" s="4" t="n"/>
      <c r="I8" s="4" t="n"/>
    </row>
    <row r="9">
      <c r="A9" s="13" t="n"/>
      <c r="B9" s="13" t="inlineStr">
        <is>
          <t>Ajuste anual (meses)</t>
        </is>
      </c>
      <c r="C9" s="64">
        <f>7/12</f>
        <v/>
      </c>
      <c r="D9" s="4" t="n"/>
      <c r="I9" s="4" t="n"/>
      <c r="J9" s="4" t="n"/>
    </row>
    <row r="10">
      <c r="A10" s="13" t="n"/>
      <c r="B10" s="13" t="inlineStr">
        <is>
          <t>Delta tasas hoy (WIRP)</t>
        </is>
      </c>
      <c r="C10" s="65" t="n">
        <v>0</v>
      </c>
      <c r="D10" s="4" t="n"/>
      <c r="H10" s="4" t="n"/>
      <c r="I10" s="4" t="n"/>
      <c r="J10" s="4" t="n"/>
    </row>
    <row r="11">
      <c r="A11" s="13" t="n"/>
      <c r="B11" s="13" t="inlineStr">
        <is>
          <t>Delta tasas cierre 2026 (WIRP)</t>
        </is>
      </c>
      <c r="C11" s="10" t="n">
        <v>0.002</v>
      </c>
      <c r="D11" s="4" t="n"/>
      <c r="H11" s="4" t="n"/>
      <c r="I11" s="4" t="n"/>
      <c r="J11" s="4" t="n"/>
      <c r="M11" s="4" t="n"/>
      <c r="N11" s="4" t="n"/>
      <c r="O11" s="66" t="n"/>
    </row>
    <row r="12">
      <c r="A12" s="13" t="n"/>
      <c r="B12" s="13" t="inlineStr">
        <is>
          <t>Promedio delta tasas 2026 (WIRP)</t>
        </is>
      </c>
      <c r="C12" s="67">
        <f>+AVERAGE(C10:C11)</f>
        <v/>
      </c>
      <c r="D12" s="4" t="n"/>
      <c r="H12" s="4" t="n"/>
      <c r="I12" s="4" t="n"/>
      <c r="J12" s="4" t="n"/>
      <c r="M12" s="4" t="n"/>
      <c r="N12" s="4" t="n"/>
      <c r="O12" s="66" t="n"/>
    </row>
    <row r="13">
      <c r="A13" s="13" t="inlineStr">
        <is>
          <t>Variación tasas 2H 2026 (delta vs WIRP)</t>
        </is>
      </c>
      <c r="C13" s="68" t="n">
        <v>-0.0009555231006009901</v>
      </c>
      <c r="D13" s="69" t="inlineStr">
        <is>
          <t>← Calculado por modelo Mercantil v0.3.0</t>
        </is>
      </c>
      <c r="I13" s="4" t="n"/>
      <c r="J13" s="4" t="n"/>
      <c r="M13" s="4" t="n"/>
      <c r="N13" s="4" t="n"/>
      <c r="O13" s="66" t="n"/>
    </row>
    <row r="14">
      <c r="B14" s="3" t="n"/>
      <c r="C14" s="3" t="n"/>
      <c r="D14" s="4" t="n"/>
      <c r="I14" s="4" t="n"/>
      <c r="J14" s="4" t="n"/>
      <c r="M14" s="4" t="n"/>
    </row>
    <row r="15">
      <c r="B15" s="6" t="inlineStr">
        <is>
          <t>1.2. Expected Return RV: dividend yield + earnings growth + variación de múltiplos</t>
        </is>
      </c>
      <c r="I15" s="4" t="n"/>
      <c r="J15" s="4" t="n"/>
      <c r="M15" s="4" t="n"/>
    </row>
    <row r="16">
      <c r="B16" s="13" t="inlineStr">
        <is>
          <t>ACWI - Dividend Yield</t>
        </is>
      </c>
      <c r="C16" s="15">
        <f>+E27</f>
        <v/>
      </c>
      <c r="D16" s="4" t="n"/>
      <c r="H16" s="4" t="n"/>
      <c r="I16" s="4" t="n"/>
      <c r="J16" s="4" t="n"/>
      <c r="M16" s="4" t="n"/>
    </row>
    <row r="17">
      <c r="B17" s="13" t="inlineStr">
        <is>
          <t>ACWI - Earnings Growth</t>
        </is>
      </c>
      <c r="C17" s="16" t="n">
        <v>0.1</v>
      </c>
      <c r="L17" s="4" t="n"/>
    </row>
    <row r="18">
      <c r="B18" s="13" t="inlineStr">
        <is>
          <t>ACWI - Delta de Múltiplos</t>
        </is>
      </c>
      <c r="C18" s="17" t="n">
        <v>0</v>
      </c>
      <c r="D18" s="4" t="n"/>
      <c r="E18" s="18" t="inlineStr">
        <is>
          <t>(Cambiaría con expectativas de tasas)</t>
        </is>
      </c>
      <c r="I18" s="4" t="n"/>
      <c r="J18" s="4" t="n"/>
    </row>
    <row r="19" ht="19.5" customHeight="1">
      <c r="B19" s="19" t="n"/>
      <c r="C19" s="20" t="n"/>
      <c r="D19" s="4" t="n"/>
      <c r="I19" s="4" t="n"/>
      <c r="J19" s="4" t="n"/>
    </row>
    <row r="20" ht="14.25" customHeight="1">
      <c r="B20" s="2" t="inlineStr">
        <is>
          <t>2. Resultados</t>
        </is>
      </c>
      <c r="C20" s="3" t="n"/>
      <c r="D20" s="4" t="n"/>
      <c r="E20" s="4" t="n"/>
      <c r="F20" s="4" t="n"/>
      <c r="G20" s="4" t="n"/>
      <c r="I20" s="4" t="n"/>
    </row>
    <row r="21" ht="44.25" customHeight="1">
      <c r="B21" s="21" t="inlineStr">
        <is>
          <t>Asset Class</t>
        </is>
      </c>
      <c r="C21" s="22" t="inlineStr">
        <is>
          <t>ETF de referencia</t>
        </is>
      </c>
      <c r="D21" s="23" t="n"/>
      <c r="E21" s="21" t="inlineStr">
        <is>
          <t>ETF Yield BBG</t>
        </is>
      </c>
      <c r="F21" s="24" t="inlineStr">
        <is>
          <t>Yield según spreads</t>
        </is>
      </c>
      <c r="G21" s="24" t="inlineStr">
        <is>
          <t>Comentarios</t>
        </is>
      </c>
      <c r="H21" s="22" t="inlineStr">
        <is>
          <t>Yield Actual</t>
        </is>
      </c>
      <c r="I21" s="25" t="n"/>
      <c r="J21" s="26" t="inlineStr">
        <is>
          <t>Duración</t>
        </is>
      </c>
      <c r="K21" s="25" t="n"/>
      <c r="L21" s="21" t="inlineStr">
        <is>
          <t>Componente 1: Carry / Dvd Yield</t>
        </is>
      </c>
      <c r="M21" s="24" t="inlineStr">
        <is>
          <t>Componente 2: P&amp;L Capital / Earnings Growth</t>
        </is>
      </c>
      <c r="N21" s="24" t="inlineStr">
        <is>
          <t>Componente 3: Delta Múltiplos</t>
        </is>
      </c>
      <c r="O21" s="24" t="inlineStr">
        <is>
          <t>Retorno Esperado JUN-DIC</t>
        </is>
      </c>
      <c r="P21" s="22" t="inlineStr">
        <is>
          <t>Retorno Esperado ANUALIZADO</t>
        </is>
      </c>
      <c r="Q21" s="27" t="n"/>
      <c r="R21" s="21" t="inlineStr">
        <is>
          <t>Allocation</t>
        </is>
      </c>
      <c r="S21" s="22" t="inlineStr">
        <is>
          <t>Resultado  JUN-DIC</t>
        </is>
      </c>
    </row>
    <row r="22" ht="17.25" customHeight="1">
      <c r="B22" s="28">
        <f>+'[1]Mapeo de Portafolios'!A2</f>
        <v/>
      </c>
      <c r="C22" s="29">
        <f>+'[2]Portafolio RF'!$C$3</f>
        <v/>
      </c>
      <c r="D22" s="30" t="n"/>
      <c r="E22" s="31">
        <f t="array" ref="E22">+_xll.BDP(C22,"DV012")%</f>
        <v/>
      </c>
      <c r="F22" s="32">
        <f>+[3]F.Eff!$AN$3</f>
        <v/>
      </c>
      <c r="G22" s="70" t="inlineStr">
        <is>
          <t>Promedio esperado 2026</t>
        </is>
      </c>
      <c r="H22" s="34">
        <f>+AVERAGE(E22:F22)</f>
        <v/>
      </c>
      <c r="J22" s="71">
        <f t="array" ref="J22">+_xll.BDP(C22,"fd598")</f>
        <v/>
      </c>
      <c r="L22" s="36">
        <f>+H22*$C$9</f>
        <v/>
      </c>
      <c r="M22" s="37">
        <f>-J22*$C$13</f>
        <v/>
      </c>
      <c r="N22" s="37" t="inlineStr">
        <is>
          <t>-</t>
        </is>
      </c>
      <c r="O22" s="37">
        <f>+M22+L22</f>
        <v/>
      </c>
      <c r="P22" s="38">
        <f>+O22*1.71428571428571</f>
        <v/>
      </c>
      <c r="R22" s="39" t="n">
        <v>0.05</v>
      </c>
      <c r="S22" s="40" t="n"/>
    </row>
    <row r="23">
      <c r="B23" s="41">
        <f>+'[1]Mapeo de Portafolios'!A3</f>
        <v/>
      </c>
      <c r="C23" s="40" t="inlineStr">
        <is>
          <t>IGLA LN Equity</t>
        </is>
      </c>
      <c r="D23" s="30" t="n"/>
      <c r="E23" s="31" t="n">
        <v>0.0385</v>
      </c>
      <c r="F23" s="32">
        <f>+[3]F.Eff!$AO$3</f>
        <v/>
      </c>
      <c r="H23" s="34">
        <f>+AVERAGE(E23:F23)</f>
        <v/>
      </c>
      <c r="J23" s="71">
        <f t="array" ref="J23">+_xll.BDP(C23,"fd598")</f>
        <v/>
      </c>
      <c r="L23" s="36">
        <f>+H23*$C$9</f>
        <v/>
      </c>
      <c r="M23" s="37">
        <f>-$C$13*J23*$C$9</f>
        <v/>
      </c>
      <c r="N23" s="37" t="inlineStr">
        <is>
          <t>-</t>
        </is>
      </c>
      <c r="O23" s="37">
        <f>+M23+L23</f>
        <v/>
      </c>
      <c r="P23" s="38">
        <f>+O23*1.71428571428571</f>
        <v/>
      </c>
      <c r="R23" s="39" t="n">
        <v>0.45</v>
      </c>
      <c r="S23" s="42" t="n"/>
    </row>
    <row r="24">
      <c r="B24" s="28">
        <f>+'[1]Mapeo de Portafolios'!A4</f>
        <v/>
      </c>
      <c r="C24" s="43" t="inlineStr">
        <is>
          <t>GHYG US Equity</t>
        </is>
      </c>
      <c r="D24" s="30" t="n"/>
      <c r="E24" s="31">
        <f t="array" ref="E24">+_xll.BDP(C24,"DV012")%</f>
        <v/>
      </c>
      <c r="F24" s="32">
        <f>+F23+2.6%</f>
        <v/>
      </c>
      <c r="G24" s="70" t="inlineStr">
        <is>
          <t>260 bps de spread vs T-Notes</t>
        </is>
      </c>
      <c r="H24" s="34">
        <f>+AVERAGE(E24:F24)</f>
        <v/>
      </c>
      <c r="J24" s="71">
        <f t="array" ref="J24">+_xll.BDP(C24,"fd598")</f>
        <v/>
      </c>
      <c r="L24" s="36">
        <f>+H24*$C$9</f>
        <v/>
      </c>
      <c r="M24" s="37">
        <f>-$C$13*J24*$C$9</f>
        <v/>
      </c>
      <c r="N24" s="37" t="inlineStr">
        <is>
          <t>-</t>
        </is>
      </c>
      <c r="O24" s="37">
        <f>+M24+L24</f>
        <v/>
      </c>
      <c r="P24" s="38">
        <f>+O24*1.71428571428571</f>
        <v/>
      </c>
      <c r="R24" s="39" t="n">
        <v>0.2</v>
      </c>
      <c r="S24" s="42" t="n"/>
    </row>
    <row r="25">
      <c r="B25" s="41">
        <f>+'[1]Mapeo de Portafolios'!A5</f>
        <v/>
      </c>
      <c r="C25" s="40" t="inlineStr">
        <is>
          <t>LQD US Equity</t>
        </is>
      </c>
      <c r="D25" s="30" t="n"/>
      <c r="E25" s="31">
        <f t="array" ref="E25">+_xll.BDP(C25,"DV012")%</f>
        <v/>
      </c>
      <c r="F25" s="32">
        <f>+F23+0.7%</f>
        <v/>
      </c>
      <c r="G25" s="70" t="inlineStr">
        <is>
          <t>70 bps de spread vs T-Notes</t>
        </is>
      </c>
      <c r="H25" s="34">
        <f>+AVERAGE(E25:F25)</f>
        <v/>
      </c>
      <c r="J25" s="71">
        <f t="array" ref="J25">+_xll.BDP(C25,"fd598")</f>
        <v/>
      </c>
      <c r="L25" s="36">
        <f>+H25*$C$9</f>
        <v/>
      </c>
      <c r="M25" s="37">
        <f>-$C$13*J25*$C$9</f>
        <v/>
      </c>
      <c r="N25" s="37" t="inlineStr">
        <is>
          <t>-</t>
        </is>
      </c>
      <c r="O25" s="37">
        <f>+M25+L25</f>
        <v/>
      </c>
      <c r="P25" s="38">
        <f>+O25*1.71428571428571</f>
        <v/>
      </c>
      <c r="R25" s="39" t="n">
        <v>0.1</v>
      </c>
      <c r="S25" s="42" t="n"/>
    </row>
    <row r="26">
      <c r="B26" s="28" t="inlineStr">
        <is>
          <t>EM Bonds</t>
        </is>
      </c>
      <c r="C26" s="43" t="inlineStr">
        <is>
          <t>EMB US Equity</t>
        </is>
      </c>
      <c r="D26" s="30" t="n"/>
      <c r="E26" s="31">
        <f t="array" ref="E26">+_xll.BDP(C26,"DV012")%</f>
        <v/>
      </c>
      <c r="F26" s="32">
        <f>+F23+1.7%</f>
        <v/>
      </c>
      <c r="G26" s="70" t="inlineStr">
        <is>
          <t>170 bps de spread vs T-Notes</t>
        </is>
      </c>
      <c r="H26" s="34">
        <f>+AVERAGE(E26:F26)</f>
        <v/>
      </c>
      <c r="J26" s="71">
        <f t="array" ref="J26">+_xll.BDP(C26,"fd598")</f>
        <v/>
      </c>
      <c r="L26" s="36">
        <f>+H26*$C$9</f>
        <v/>
      </c>
      <c r="M26" s="37">
        <f>-$C$13*J26*$C$9</f>
        <v/>
      </c>
      <c r="N26" s="37" t="inlineStr">
        <is>
          <t>-</t>
        </is>
      </c>
      <c r="O26" s="37">
        <f>+M26+L26</f>
        <v/>
      </c>
      <c r="P26" s="38">
        <f>+O26*1.71428571428571</f>
        <v/>
      </c>
      <c r="R26" s="39" t="n">
        <v>0.1</v>
      </c>
      <c r="S26" s="42" t="n"/>
    </row>
    <row r="27">
      <c r="B27" s="45">
        <f>+'[1]Mapeo de Portafolios'!A7</f>
        <v/>
      </c>
      <c r="C27" s="46" t="inlineStr">
        <is>
          <t>ACWI US Equity</t>
        </is>
      </c>
      <c r="D27" s="47" t="n"/>
      <c r="E27" s="48">
        <f t="array" ref="E27">+_xll.BDP(C27,"DV012")%</f>
        <v/>
      </c>
      <c r="F27" s="56">
        <f>+E27</f>
        <v/>
      </c>
      <c r="G27" s="72" t="inlineStr">
        <is>
          <t>Dvd yield</t>
        </is>
      </c>
      <c r="H27" s="51">
        <f>+AVERAGE(E27:F27)</f>
        <v/>
      </c>
      <c r="I27" s="73" t="n"/>
      <c r="J27" s="74" t="inlineStr">
        <is>
          <t>-</t>
        </is>
      </c>
      <c r="K27" s="54" t="n"/>
      <c r="L27" s="55">
        <f>+H27*C9</f>
        <v/>
      </c>
      <c r="M27" s="56">
        <f>+C17*C9</f>
        <v/>
      </c>
      <c r="N27" s="56" t="n">
        <v>0</v>
      </c>
      <c r="O27" s="56">
        <f>+M27+L27</f>
        <v/>
      </c>
      <c r="P27" s="57">
        <f>+O27*1.71428571428571</f>
        <v/>
      </c>
      <c r="Q27" s="54" t="n"/>
      <c r="R27" s="58" t="n">
        <v>0.1</v>
      </c>
      <c r="S27" s="59" t="n"/>
    </row>
    <row r="28" ht="12.6" customHeight="1">
      <c r="P28" s="60">
        <f>+'[4]FCST 2026 - 5+7'!H18</f>
        <v/>
      </c>
      <c r="S28" s="60">
        <f>+SUMPRODUCT(O22:O27,R22:R27)</f>
        <v/>
      </c>
    </row>
    <row r="30">
      <c r="F30" s="61" t="inlineStr">
        <is>
          <t>Hacer escenarios</t>
        </is>
      </c>
    </row>
    <row r="32">
      <c r="F32" s="62" t="inlineStr">
        <is>
          <t>Retornos condicionados en todos</t>
        </is>
      </c>
    </row>
    <row r="34">
      <c r="G34" s="4" t="n"/>
    </row>
    <row r="38">
      <c r="J38" s="18" t="inlineStr">
        <is>
          <t>  </t>
        </is>
      </c>
    </row>
  </sheetData>
  <mergeCells count="5">
    <mergeCell ref="G22:G23"/>
    <mergeCell ref="B15:F15"/>
    <mergeCell ref="A13:B13"/>
    <mergeCell ref="B8:F8"/>
    <mergeCell ref="E18:F18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Moya Figuera, Antulio Salvador</dc:creator>
  <dcterms:created xsi:type="dcterms:W3CDTF">2026-06-01T19:17:16Z</dcterms:created>
  <dcterms:modified xsi:type="dcterms:W3CDTF">2026-06-02T15:47:59Z</dcterms:modified>
  <cp:lastModifiedBy>Moya Figuera, Antulio Salvador</cp:lastModifiedBy>
</cp:coreProperties>
</file>