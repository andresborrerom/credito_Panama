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rcantilbanco-my.sharepoint.com/personal/abrandini_bancomercantil_com/Documents/Alfonso LUZ/escritorio/"/>
    </mc:Choice>
  </mc:AlternateContent>
  <xr:revisionPtr revIDLastSave="8" documentId="8_{6B90285B-C0EF-46BE-9525-80A5C84A95C0}" xr6:coauthVersionLast="47" xr6:coauthVersionMax="47" xr10:uidLastSave="{476056ED-D297-4E4F-A4C3-8B09CAD4AFC7}"/>
  <bookViews>
    <workbookView xWindow="-120" yWindow="-120" windowWidth="29040" windowHeight="15720" xr2:uid="{A0FEF780-C41F-48BF-A7A5-36168CDD14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" l="1" a="1"/>
  <c r="K17" i="1" a="1"/>
  <c r="K25" i="1" a="1"/>
  <c r="K19" i="1" a="1"/>
  <c r="K28" i="1" a="1"/>
  <c r="K9" i="1" a="1"/>
  <c r="K24" i="1" a="1"/>
  <c r="K6" i="1" a="1"/>
  <c r="K20" i="1" a="1"/>
  <c r="K15" i="1" a="1"/>
  <c r="K21" i="1" a="1"/>
  <c r="K16" i="1" a="1"/>
  <c r="K14" i="1" a="1"/>
  <c r="K27" i="1" a="1"/>
  <c r="K13" i="1" a="1"/>
  <c r="K26" i="1" a="1"/>
  <c r="K22" i="1" a="1"/>
  <c r="K12" i="1" a="1"/>
  <c r="K10" i="1" a="1"/>
  <c r="K23" i="1" a="1"/>
  <c r="K7" i="1" a="1"/>
  <c r="K11" i="1" a="1"/>
  <c r="K18" i="1" a="1"/>
  <c r="K8" i="1" a="1"/>
  <c r="E18" i="1" a="1"/>
  <c r="E20" i="1" a="1"/>
  <c r="E23" i="1" a="1"/>
  <c r="E8" i="1" a="1"/>
  <c r="E24" i="1" a="1"/>
  <c r="E27" i="1" a="1"/>
  <c r="E6" i="1" a="1"/>
  <c r="E15" i="1" a="1"/>
  <c r="E26" i="1" a="1"/>
  <c r="E28" i="1" a="1"/>
  <c r="E19" i="1" a="1"/>
  <c r="E7" i="1" a="1"/>
  <c r="E25" i="1" a="1"/>
  <c r="E21" i="1" a="1"/>
  <c r="E22" i="1" a="1"/>
  <c r="O5" i="1" a="1"/>
  <c r="J14" i="1" a="1"/>
  <c r="J21" i="1" a="1"/>
  <c r="J25" i="1" a="1"/>
  <c r="J27" i="1" a="1"/>
  <c r="D22" i="1" a="1"/>
  <c r="J16" i="1" a="1"/>
  <c r="J19" i="1" a="1"/>
  <c r="D18" i="1" a="1"/>
  <c r="J15" i="1" a="1"/>
  <c r="D26" i="1" a="1"/>
  <c r="J26" i="1" a="1"/>
  <c r="D25" i="1" a="1"/>
  <c r="J28" i="1" a="1"/>
  <c r="D15" i="1" a="1"/>
  <c r="D21" i="1" a="1"/>
  <c r="D23" i="1" a="1"/>
  <c r="D8" i="1" a="1"/>
  <c r="D28" i="1" a="1"/>
  <c r="J7" i="1" a="1"/>
  <c r="J8" i="1" a="1"/>
  <c r="J6" i="1" a="1"/>
  <c r="D19" i="1" a="1"/>
  <c r="D7" i="1" a="1"/>
  <c r="J17" i="1" a="1"/>
  <c r="J24" i="1" a="1"/>
  <c r="J12" i="1" a="1"/>
  <c r="D20" i="1" a="1"/>
  <c r="J10" i="1" a="1"/>
  <c r="D24" i="1" a="1"/>
  <c r="D27" i="1" a="1"/>
  <c r="J13" i="1" a="1"/>
  <c r="D6" i="1" a="1"/>
  <c r="J11" i="1" a="1"/>
  <c r="J20" i="1" a="1"/>
  <c r="J23" i="1" a="1"/>
  <c r="J22" i="1" a="1"/>
  <c r="J18" i="1" a="1"/>
  <c r="J9" i="1" a="1"/>
  <c r="O10" i="1" l="1"/>
  <c r="K22" i="1"/>
  <c r="K26" i="1"/>
  <c r="K13" i="1"/>
  <c r="K27" i="1"/>
  <c r="K14" i="1"/>
  <c r="K16" i="1"/>
  <c r="K21" i="1"/>
  <c r="K15" i="1"/>
  <c r="K20" i="1"/>
  <c r="K6" i="1"/>
  <c r="K24" i="1"/>
  <c r="K9" i="1"/>
  <c r="K28" i="1"/>
  <c r="K19" i="1"/>
  <c r="K25" i="1"/>
  <c r="K17" i="1"/>
  <c r="K8" i="1"/>
  <c r="K18" i="1"/>
  <c r="K11" i="1"/>
  <c r="K7" i="1"/>
  <c r="K23" i="1"/>
  <c r="K10" i="1"/>
  <c r="K12" i="1"/>
  <c r="E18" i="1"/>
  <c r="E22" i="1"/>
  <c r="E21" i="1"/>
  <c r="E25" i="1"/>
  <c r="E7" i="1"/>
  <c r="E19" i="1"/>
  <c r="E28" i="1"/>
  <c r="E26" i="1"/>
  <c r="E15" i="1"/>
  <c r="E6" i="1"/>
  <c r="E27" i="1"/>
  <c r="E24" i="1"/>
  <c r="E8" i="1"/>
  <c r="E23" i="1"/>
  <c r="E20" i="1"/>
  <c r="O5" i="1"/>
  <c r="J9" i="1"/>
  <c r="J18" i="1"/>
  <c r="J22" i="1"/>
  <c r="J23" i="1"/>
  <c r="J20" i="1"/>
  <c r="J11" i="1"/>
  <c r="D6" i="1"/>
  <c r="J13" i="1"/>
  <c r="D27" i="1"/>
  <c r="D24" i="1"/>
  <c r="J10" i="1"/>
  <c r="D20" i="1"/>
  <c r="J12" i="1"/>
  <c r="J24" i="1"/>
  <c r="J17" i="1"/>
  <c r="D7" i="1"/>
  <c r="D19" i="1"/>
  <c r="J6" i="1"/>
  <c r="J8" i="1"/>
  <c r="J7" i="1"/>
  <c r="D28" i="1"/>
  <c r="D8" i="1"/>
  <c r="D23" i="1"/>
  <c r="D21" i="1"/>
  <c r="D15" i="1"/>
  <c r="J28" i="1"/>
  <c r="D25" i="1"/>
  <c r="J26" i="1"/>
  <c r="D26" i="1"/>
  <c r="J15" i="1"/>
  <c r="D18" i="1"/>
  <c r="J19" i="1"/>
  <c r="J16" i="1"/>
  <c r="D22" i="1"/>
  <c r="J27" i="1"/>
  <c r="J25" i="1"/>
  <c r="J21" i="1"/>
  <c r="J14" i="1"/>
  <c r="E12" i="1" l="1"/>
  <c r="E11" i="1"/>
  <c r="E10" i="1"/>
  <c r="L16" i="1" l="1"/>
  <c r="L23" i="1"/>
  <c r="L10" i="1"/>
  <c r="L22" i="1"/>
  <c r="L6" i="1"/>
  <c r="L19" i="1"/>
  <c r="F7" i="1"/>
  <c r="L25" i="1"/>
  <c r="L26" i="1"/>
  <c r="L9" i="1"/>
  <c r="L24" i="1"/>
  <c r="F6" i="1"/>
  <c r="L8" i="1"/>
  <c r="L12" i="1"/>
  <c r="L20" i="1"/>
  <c r="L14" i="1"/>
  <c r="L15" i="1"/>
  <c r="L21" i="1"/>
  <c r="L13" i="1"/>
  <c r="L11" i="1"/>
  <c r="L27" i="1"/>
  <c r="L18" i="1"/>
  <c r="L7" i="1"/>
  <c r="F8" i="1"/>
  <c r="D12" i="1"/>
  <c r="F12" i="1" s="1"/>
  <c r="D11" i="1"/>
  <c r="F11" i="1" s="1"/>
  <c r="D10" i="1"/>
  <c r="F10" i="1" s="1"/>
  <c r="L28" i="1"/>
  <c r="L17" i="1"/>
  <c r="F18" i="1" l="1"/>
  <c r="F15" i="1"/>
  <c r="F19" i="1"/>
  <c r="F20" i="1"/>
  <c r="F21" i="1"/>
  <c r="F22" i="1"/>
  <c r="F23" i="1"/>
  <c r="F24" i="1"/>
  <c r="F25" i="1"/>
  <c r="F26" i="1"/>
  <c r="F27" i="1"/>
  <c r="F2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<sst xmlns="http://schemas.openxmlformats.org/spreadsheetml/2006/main" count="57" uniqueCount="55">
  <si>
    <t>SOFR</t>
  </si>
  <si>
    <t>3 M</t>
  </si>
  <si>
    <t>6 M</t>
  </si>
  <si>
    <t>12 M</t>
  </si>
  <si>
    <t>UST</t>
  </si>
  <si>
    <t>2Y</t>
  </si>
  <si>
    <t>5Y</t>
  </si>
  <si>
    <t>10Y</t>
  </si>
  <si>
    <t>Var</t>
  </si>
  <si>
    <t>TSFR3M Index</t>
  </si>
  <si>
    <t>TSFR6M Index</t>
  </si>
  <si>
    <t>TSFR12M Index</t>
  </si>
  <si>
    <t>YCGT0025 INDEX</t>
  </si>
  <si>
    <t>SOFRRATE Index</t>
  </si>
  <si>
    <t>SFRH6 COMB Comdty</t>
  </si>
  <si>
    <t>SFRJ6 COMB Comdty</t>
  </si>
  <si>
    <t>SFRK6 COMB Comdty</t>
  </si>
  <si>
    <t>SFRM6 COMB Comdty</t>
  </si>
  <si>
    <t>SFRN6 COMB Comdty</t>
  </si>
  <si>
    <t>SFRQ6 COMB Comdty</t>
  </si>
  <si>
    <t>SFRU6 COMB Comdty</t>
  </si>
  <si>
    <t>SFRV6 COMB Comdty</t>
  </si>
  <si>
    <t>SFRX6 COMB Comdty</t>
  </si>
  <si>
    <t>SFRZ6 COMB Comdty</t>
  </si>
  <si>
    <t>SFRH7 COMB Comdty</t>
  </si>
  <si>
    <t>SFRM7 COMB Comdty</t>
  </si>
  <si>
    <t>SFRU7 COMB Comdty</t>
  </si>
  <si>
    <t>SFRZ7 COMB Comdty</t>
  </si>
  <si>
    <t>SFRH8 COMB Comdty</t>
  </si>
  <si>
    <t>SFRM8 COMB Comdty</t>
  </si>
  <si>
    <t>SFRU28 COMB Comdty</t>
  </si>
  <si>
    <t>SFRZ28 COMB Comdty</t>
  </si>
  <si>
    <t>SFRH29 COMB Comdty</t>
  </si>
  <si>
    <t>SFRM29 COMB Comdty</t>
  </si>
  <si>
    <t>SFRU29 COMB Comdty</t>
  </si>
  <si>
    <t>SFRZ29 COMB Comdty</t>
  </si>
  <si>
    <t>Spot</t>
  </si>
  <si>
    <t>SOFR 3M FUTURE CONTRACTS</t>
  </si>
  <si>
    <t>Tenor</t>
  </si>
  <si>
    <t>Fecha</t>
  </si>
  <si>
    <t>US0AFR JUN2026 INDEX</t>
  </si>
  <si>
    <t>US0AFR JUL2026 INDEX</t>
  </si>
  <si>
    <t>US0AFR SEP2026 INDEX</t>
  </si>
  <si>
    <t>US0AFR OCT2026 INDEX</t>
  </si>
  <si>
    <t>US0AFR DIC2026 INDEX</t>
  </si>
  <si>
    <t>US0AFR JAN2027 INDEX</t>
  </si>
  <si>
    <t>US0AFR MAR2027 INDEX</t>
  </si>
  <si>
    <t>US0AFR APR2027 INDEX</t>
  </si>
  <si>
    <t>US0AFR JUN2027 INDEX</t>
  </si>
  <si>
    <t>US0AFR JUL2027 INDEX</t>
  </si>
  <si>
    <t>US0AFR SEP2027 INDEX</t>
  </si>
  <si>
    <t>FED FUNDS - MARKET EXP (WIRP)</t>
  </si>
  <si>
    <t>Var Acum</t>
  </si>
  <si>
    <t>FED FUNDS - EFFECTIVE RATE</t>
  </si>
  <si>
    <t>FEDL01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</si>
</sst>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0" fillId="0" borderId="4" xfId="0" applyBorder="1" applyAlignment="1">
      <alignment horizontal="center"/>
    </xf>
    <xf numFmtId="4" fontId="0" fillId="0" borderId="0" xfId="0" applyNumberFormat="1"/>
    <xf numFmtId="4" fontId="0" fillId="0" borderId="0" xfId="0" applyNumberFormat="1" applyBorder="1"/>
    <xf numFmtId="4" fontId="0" fillId="0" borderId="7" xfId="0" applyNumberFormat="1" applyBorder="1"/>
    <xf numFmtId="164" fontId="0" fillId="0" borderId="0" xfId="0" applyNumberFormat="1"/>
    <xf numFmtId="164" fontId="0" fillId="0" borderId="0" xfId="0" applyNumberFormat="1" applyBorder="1"/>
    <xf numFmtId="164" fontId="0" fillId="0" borderId="7" xfId="0" applyNumberFormat="1" applyBorder="1"/>
    <xf numFmtId="4" fontId="0" fillId="0" borderId="5" xfId="0" applyNumberFormat="1" applyBorder="1"/>
    <xf numFmtId="17" fontId="0" fillId="0" borderId="4" xfId="0" applyNumberFormat="1" applyBorder="1"/>
    <xf numFmtId="4" fontId="0" fillId="0" borderId="8" xfId="0" applyNumberFormat="1" applyBorder="1"/>
    <xf numFmtId="0" fontId="1" fillId="0" borderId="9" xfId="0" applyFont="1" applyBorder="1" applyAlignment="1">
      <alignment horizontal="center"/>
    </xf>
    <xf numFmtId="14" fontId="1" fillId="0" borderId="10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4" xfId="0" applyFont="1" applyBorder="1"/>
    <xf numFmtId="17" fontId="0" fillId="0" borderId="1" xfId="0" applyNumberFormat="1" applyBorder="1"/>
    <xf numFmtId="164" fontId="0" fillId="0" borderId="2" xfId="0" applyNumberFormat="1" applyBorder="1"/>
    <xf numFmtId="4" fontId="0" fillId="0" borderId="3" xfId="0" applyNumberFormat="1" applyBorder="1"/>
    <xf numFmtId="17" fontId="0" fillId="0" borderId="6" xfId="0" applyNumberFormat="1" applyBorder="1"/>
    <xf numFmtId="0" fontId="0" fillId="0" borderId="1" xfId="0" applyBorder="1" applyAlignment="1">
      <alignment horizontal="right"/>
    </xf>
    <xf numFmtId="4" fontId="0" fillId="0" borderId="2" xfId="0" applyNumberFormat="1" applyBorder="1"/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BQL|13841254698696069553</stp>
        <tr r="O5" s="1"/>
      </tp>
      <tp t="s">
        <v>#N/A N/A</v>
        <stp/>
        <stp>BDH|10160995606727384485</stp>
        <tr r="K14" s="1"/>
      </tp>
      <tp t="s">
        <v>#N/A N/A</v>
        <stp/>
        <stp>BDH|14611355968243270875</stp>
        <tr r="K10" s="1"/>
      </tp>
      <tp t="e">
        <v>#N/A</v>
        <stp/>
        <stp>BDH|18108266905881655008</stp>
        <tr r="J9" s="1"/>
      </tp>
      <tp t="e">
        <v>#N/A</v>
        <stp/>
        <stp>BDH|14546516760125102931</stp>
        <tr r="D19" s="1"/>
      </tp>
      <tp t="e">
        <v>#N/A</v>
        <stp/>
        <stp>BDH|14260898361994695653</stp>
        <tr r="J13" s="1"/>
      </tp>
      <tp t="e">
        <v>#N/A</v>
        <stp/>
        <stp>BDH|12045039498516741547</stp>
        <tr r="D18" s="1"/>
      </tp>
      <tp t="s">
        <v>#N/A N/A</v>
        <stp/>
        <stp>BDH|16231769777409895699</stp>
        <tr r="E22" s="1"/>
      </tp>
      <tp t="e">
        <v>#N/A</v>
        <stp/>
        <stp>BDH|12347661465543781858</stp>
        <tr r="J16" s="1"/>
      </tp>
      <tp t="e">
        <v>#N/A</v>
        <stp/>
        <stp>BDH|13760777691843595723</stp>
        <tr r="D6" s="1"/>
      </tp>
      <tp t="s">
        <v>#N/A N/A</v>
        <stp/>
        <stp>BDH|16240816551024508168</stp>
        <tr r="K8" s="1"/>
      </tp>
      <tp t="e">
        <v>#N/A</v>
        <stp/>
        <stp>BDH|13558508880591637156</stp>
        <tr r="D8" s="1"/>
      </tp>
      <tp t="e">
        <v>#N/A</v>
        <stp/>
        <stp>BDH|16295022695133545017</stp>
        <tr r="J7" s="1"/>
      </tp>
      <tp t="e">
        <v>#N/A</v>
        <stp/>
        <stp>BDH|11046000221357548811</stp>
        <tr r="D15" s="1"/>
      </tp>
      <tp t="s">
        <v>#N/A N/A</v>
        <stp/>
        <stp>BDH|11177693163008481599</stp>
        <tr r="K16" s="1"/>
      </tp>
      <tp t="s">
        <v>#N/A N/A</v>
        <stp/>
        <stp>BDH|11162362863689849130</stp>
        <tr r="K9" s="1"/>
      </tp>
      <tp t="e">
        <v>#N/A</v>
        <stp/>
        <stp>BDH|17302471498993881438</stp>
        <tr r="D28" s="1"/>
      </tp>
      <tp t="s">
        <v>#N/A N/A</v>
        <stp/>
        <stp>BDH|16122647412709426596</stp>
        <tr r="K23" s="1"/>
      </tp>
      <tp t="e">
        <v>#N/A</v>
        <stp/>
        <stp>BDH|11613938298019615576</stp>
        <tr r="J17" s="1"/>
      </tp>
      <tp t="s">
        <v>#N/A N/A</v>
        <stp/>
        <stp>BDH|11451530123533685781</stp>
        <tr r="E28" s="1"/>
      </tp>
      <tp t="e">
        <v>#N/A</v>
        <stp/>
        <stp>BDH|12051295694993162869</stp>
        <tr r="J11" s="1"/>
      </tp>
      <tp t="s">
        <v>#N/A N/A</v>
        <stp/>
        <stp>BDH|18400534599833407555</stp>
        <tr r="E25" s="1"/>
      </tp>
      <tp t="s">
        <v>#N/A N/A</v>
        <stp/>
        <stp>BDH|17711092405621283590</stp>
        <tr r="K12" s="1"/>
      </tp>
      <tp t="e">
        <v>#N/A</v>
        <stp/>
        <stp>BDH|17284152427646784100</stp>
        <tr r="D23" s="1"/>
      </tp>
      <tp t="s">
        <v>#N/A N/A</v>
        <stp/>
        <stp>BDH|14778893889403873430</stp>
        <tr r="E21" s="1"/>
      </tp>
      <tp t="e">
        <v>#N/A</v>
        <stp/>
        <stp>BDH|15438799375227945233</stp>
        <tr r="J19" s="1"/>
      </tp>
      <tp t="s">
        <v>#N/A N/A</v>
        <stp/>
        <stp>BDH|10038345964690510516</stp>
        <tr r="K26" s="1"/>
      </tp>
      <tp t="s">
        <v>#N/A N/A</v>
        <stp/>
        <stp>BDH|10195495762000206395</stp>
        <tr r="E23" s="1"/>
      </tp>
      <tp t="e">
        <v>#N/A</v>
        <stp/>
        <stp>BDH|10802781640323566102</stp>
        <tr r="J12" s="1"/>
      </tp>
      <tp t="s">
        <v>#N/A N/A</v>
        <stp/>
        <stp>BDH|13900934250606897858</stp>
        <tr r="K11" s="1"/>
      </tp>
      <tp t="e">
        <v>#N/A</v>
        <stp/>
        <stp>BDH|15599164034505105471</stp>
        <tr r="D7" s="1"/>
      </tp>
      <tp t="e">
        <v>#N/A</v>
        <stp/>
        <stp>BDH|11569035246930829381</stp>
        <tr r="D26" s="1"/>
      </tp>
      <tp t="e">
        <v>#N/A</v>
        <stp/>
        <stp>BDH|12754407087541286970</stp>
        <tr r="D27" s="1"/>
      </tp>
      <tp t="s">
        <v>#N/A N/A</v>
        <stp/>
        <stp>BDH|14874757764342251173</stp>
        <tr r="K7" s="1"/>
      </tp>
      <tp t="e">
        <v>#N/A</v>
        <stp/>
        <stp>BDH|15488124896979298392</stp>
        <tr r="J23" s="1"/>
      </tp>
      <tp t="s">
        <v>#N/A N/A</v>
        <stp/>
        <stp>BDH|12783814268642198944</stp>
        <tr r="E6" s="1"/>
      </tp>
      <tp t="e">
        <v>#N/A</v>
        <stp/>
        <stp>BDH|16837228468887903186</stp>
        <tr r="J14" s="1"/>
      </tp>
      <tp t="s">
        <v>#N/A N/A</v>
        <stp/>
        <stp>BDH|14476101238765252740</stp>
        <tr r="K18" s="1"/>
      </tp>
      <tp t="e">
        <v>#N/A</v>
        <stp/>
        <stp>BDH|14024064632521809229</stp>
        <tr r="J18" s="1"/>
      </tp>
      <tp t="s">
        <v>#N/A N/A</v>
        <stp/>
        <stp>BDH|15996993064079253664</stp>
        <tr r="E27" s="1"/>
      </tp>
      <tp t="s">
        <v>#N/A N/A</v>
        <stp/>
        <stp>BDH|13004590859837219195</stp>
        <tr r="E26" s="1"/>
      </tp>
      <tp t="s">
        <v>#N/A N/A</v>
        <stp/>
        <stp>BDH|10130637718153364178</stp>
        <tr r="E20" s="1"/>
      </tp>
      <tp t="e">
        <v>#N/A</v>
        <stp/>
        <stp>BDH|14648296511607921598</stp>
        <tr r="D25" s="1"/>
      </tp>
    </main>
    <main first="bofaddin.rtdserver">
      <tp t="s">
        <v>#N/A N/A</v>
        <stp/>
        <stp>BDH|6508936437565211534</stp>
        <tr r="E18" s="1"/>
      </tp>
      <tp t="e">
        <v>#N/A</v>
        <stp/>
        <stp>BDH|7663271291889022877</stp>
        <tr r="J21" s="1"/>
      </tp>
      <tp t="s">
        <v>#N/A N/A</v>
        <stp/>
        <stp>BDH|9237922482960095692</stp>
        <tr r="K27" s="1"/>
      </tp>
      <tp t="e">
        <v>#N/A</v>
        <stp/>
        <stp>BDH|1261521692861935322</stp>
        <tr r="J28" s="1"/>
      </tp>
      <tp t="s">
        <v>#N/A N/A</v>
        <stp/>
        <stp>BDH|3589627469404859852</stp>
        <tr r="E7" s="1"/>
      </tp>
      <tp t="e">
        <v>#N/A</v>
        <stp/>
        <stp>BDH|6155936789968884040</stp>
        <tr r="J8" s="1"/>
      </tp>
      <tp t="s">
        <v>#N/A N/A</v>
        <stp/>
        <stp>BDH|3987904859092305244</stp>
        <tr r="K19" s="1"/>
      </tp>
      <tp t="s">
        <v>#N/A N/A</v>
        <stp/>
        <stp>BDH|5402516464849145630</stp>
        <tr r="K21" s="1"/>
      </tp>
      <tp t="s">
        <v>#N/A N/A</v>
        <stp/>
        <stp>BDH|7397775094816470546</stp>
        <tr r="K25" s="1"/>
      </tp>
      <tp t="s">
        <v>#N/A N/A</v>
        <stp/>
        <stp>BDH|9535209311454485401</stp>
        <tr r="K20" s="1"/>
      </tp>
      <tp t="s">
        <v>#N/A N/A</v>
        <stp/>
        <stp>BDH|5008083995880463716</stp>
        <tr r="K22" s="1"/>
      </tp>
      <tp t="s">
        <v>#N/A N/A</v>
        <stp/>
        <stp>BDH|4648104618061132157</stp>
        <tr r="K24" s="1"/>
      </tp>
      <tp t="s">
        <v>#N/A N/A</v>
        <stp/>
        <stp>BDH|7433579362326075694</stp>
        <tr r="K15" s="1"/>
      </tp>
      <tp t="e">
        <v>#N/A</v>
        <stp/>
        <stp>BDH|4948385181193945845</stp>
        <tr r="D22" s="1"/>
      </tp>
      <tp t="s">
        <v>#N/A N/A</v>
        <stp/>
        <stp>BDH|4121795225471402449</stp>
        <tr r="K13" s="1"/>
      </tp>
      <tp t="s">
        <v>#N/A N/A</v>
        <stp/>
        <stp>BQL|4638906293423204276</stp>
        <tr r="O10" s="1"/>
      </tp>
      <tp t="s">
        <v>#N/A N/A</v>
        <stp/>
        <stp>BDH|1885685255005346246</stp>
        <tr r="E24" s="1"/>
      </tp>
      <tp t="e">
        <v>#N/A</v>
        <stp/>
        <stp>BDH|2633386548697290744</stp>
        <tr r="J26" s="1"/>
      </tp>
      <tp t="e">
        <v>#N/A</v>
        <stp/>
        <stp>BDH|3435962190411786746</stp>
        <tr r="J22" s="1"/>
      </tp>
      <tp t="e">
        <v>#N/A</v>
        <stp/>
        <stp>BDH|3884393442032342029</stp>
        <tr r="J20" s="1"/>
      </tp>
      <tp t="e">
        <v>#N/A</v>
        <stp/>
        <stp>BDH|7873698193456452999</stp>
        <tr r="D24" s="1"/>
      </tp>
      <tp t="s">
        <v>#N/A N/A</v>
        <stp/>
        <stp>BDH|9247761873886155828</stp>
        <tr r="E8" s="1"/>
      </tp>
      <tp t="s">
        <v>#N/A N/A</v>
        <stp/>
        <stp>BDH|2340242576391654130</stp>
        <tr r="K6" s="1"/>
      </tp>
      <tp t="s">
        <v>#N/A N/A</v>
        <stp/>
        <stp>BDH|3597805871659817547</stp>
        <tr r="E15" s="1"/>
      </tp>
      <tp t="s">
        <v>#N/A N/A</v>
        <stp/>
        <stp>BDH|6551463467342439631</stp>
        <tr r="E19" s="1"/>
      </tp>
      <tp t="s">
        <v>#N/A N/A</v>
        <stp/>
        <stp>BDH|7223147105141398737</stp>
        <tr r="K17" s="1"/>
      </tp>
      <tp t="e">
        <v>#N/A</v>
        <stp/>
        <stp>BDH|6715522744493987537</stp>
        <tr r="J27" s="1"/>
      </tp>
      <tp t="e">
        <v>#N/A</v>
        <stp/>
        <stp>BDH|3953314306394026567</stp>
        <tr r="J6" s="1"/>
      </tp>
      <tp t="e">
        <v>#N/A</v>
        <stp/>
        <stp>BDH|9819017348224189850</stp>
        <tr r="D20" s="1"/>
      </tp>
      <tp t="e">
        <v>#N/A</v>
        <stp/>
        <stp>BDH|5718465167990781571</stp>
        <tr r="J15" s="1"/>
      </tp>
      <tp t="e">
        <v>#N/A</v>
        <stp/>
        <stp>BDH|6953175772114781750</stp>
        <tr r="J25" s="1"/>
      </tp>
      <tp t="s">
        <v>#N/A N/A</v>
        <stp/>
        <stp>BDH|3978158614626046692</stp>
        <tr r="K28" s="1"/>
      </tp>
      <tp t="e">
        <v>#N/A</v>
        <stp/>
        <stp>BDH|8006532006348787640</stp>
        <tr r="J10" s="1"/>
      </tp>
      <tp t="e">
        <v>#N/A</v>
        <stp/>
        <stp>BDH|983143299479746592</stp>
        <tr r="J24" s="1"/>
      </tp>
      <tp t="e">
        <v>#N/A</v>
        <stp/>
        <stp>BDH|595559207343517123</stp>
        <tr r="D2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47624</xdr:colOff>
      <xdr:row>14</xdr:row>
      <xdr:rowOff>114300</xdr:rowOff>
    </xdr:from>
    <xdr:to>
      <xdr:col>25</xdr:col>
      <xdr:colOff>683381</xdr:colOff>
      <xdr:row>35</xdr:row>
      <xdr:rowOff>172893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CA75A63-0FB3-F8EB-11A6-96921B9C3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4" y="2781300"/>
          <a:ext cx="9017757" cy="4068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A9C48-D552-44FE-A9D7-1A9374DA5318}">
  <dimension ref="B3:Q28"/>
  <sheetViews>
    <sheetView showGridLines="0" tabSelected="1" workbookViewId="0">
      <selection activeCell="K10" sqref="K10"/>
    </sheetView>
  </sheetViews>
  <sheetFormatPr baseColWidth="10" defaultRowHeight="15" x14ac:dyDescent="0.25"/>
  <cols>
    <col min="2" max="2" width="12.85546875" customWidth="1"/>
    <col min="3" max="3" width="7.28515625" bestFit="1" customWidth="1"/>
    <col min="4" max="4" width="11.7109375" customWidth="1"/>
    <col min="5" max="5" width="11.140625" customWidth="1"/>
    <col min="6" max="6" width="9.28515625" bestFit="1" customWidth="1"/>
    <col min="7" max="7" width="2.140625" customWidth="1"/>
    <col min="8" max="8" width="20.5703125" customWidth="1"/>
    <col min="9" max="9" width="7.7109375" customWidth="1"/>
    <col min="12" max="12" width="7.42578125" customWidth="1"/>
  </cols>
  <sheetData>
    <row r="3" spans="2:17" ht="15.75" thickBot="1" x14ac:dyDescent="0.3">
      <c r="P3" t="s">
        <v>12</v>
      </c>
    </row>
    <row r="4" spans="2:17" x14ac:dyDescent="0.25">
      <c r="C4" s="24" t="s">
        <v>0</v>
      </c>
      <c r="D4" s="25"/>
      <c r="E4" s="25"/>
      <c r="F4" s="26"/>
      <c r="I4" s="24" t="s">
        <v>37</v>
      </c>
      <c r="J4" s="25"/>
      <c r="K4" s="25"/>
      <c r="L4" s="26"/>
    </row>
    <row r="5" spans="2:17" x14ac:dyDescent="0.25">
      <c r="C5" s="14" t="s">
        <v>38</v>
      </c>
      <c r="D5" s="15">
        <v>46142</v>
      </c>
      <c r="E5" s="15">
        <v>46171</v>
      </c>
      <c r="F5" s="16" t="s">
        <v>8</v>
      </c>
      <c r="G5" s="4"/>
      <c r="H5" s="1"/>
      <c r="I5" s="14" t="s">
        <v>39</v>
      </c>
      <c r="J5" s="15">
        <v>46142</v>
      </c>
      <c r="K5" s="15">
        <v>46171</v>
      </c>
      <c r="L5" s="16" t="s">
        <v>8</v>
      </c>
      <c r="O5" t="str" cm="1">
        <f t="array" ref="O5:Q8">_xll.BQL("curvemembers('YCGT0025 Index';tenors=['2Y','5Y','10Y'])","id().tenor;rate(side=mid).value","dates=2026-04-30")</f>
        <v>ID</v>
      </c>
      <c r="P5" t="str">
        <v>id().tenor</v>
      </c>
      <c r="Q5" t="str">
        <v>rate(side=mid).value</v>
      </c>
    </row>
    <row r="6" spans="2:17" x14ac:dyDescent="0.25">
      <c r="B6" t="s">
        <v>9</v>
      </c>
      <c r="C6" s="17" t="s">
        <v>1</v>
      </c>
      <c r="D6" s="8" cm="1">
        <f t="array" ref="D6">+_xll.BDH($B6,"PX_LAST",D$5)</f>
        <v>3.6639499999999998</v>
      </c>
      <c r="E6" s="8" cm="1">
        <f t="array" ref="E6">+_xll.BDH($B6,"PX_LAST",E$5)</f>
        <v>3.6573600000000002</v>
      </c>
      <c r="F6" s="11">
        <f>+E6-D6</f>
        <v>-6.5899999999996517E-3</v>
      </c>
      <c r="H6" s="1" t="s">
        <v>13</v>
      </c>
      <c r="I6" s="22" t="s">
        <v>36</v>
      </c>
      <c r="J6" s="23" cm="1">
        <f t="array" ref="J6">+_xll.BDH($H6,"PX_LAST",J$5)</f>
        <v>3.66</v>
      </c>
      <c r="K6" s="23" cm="1">
        <f t="array" ref="K6">+_xll.BDH($H6,"PX_LAST",K$5)</f>
        <v>3.63</v>
      </c>
      <c r="L6" s="20">
        <f>+K6-J6</f>
        <v>-3.0000000000000249E-2</v>
      </c>
      <c r="M6" s="5"/>
      <c r="N6" s="5"/>
      <c r="O6" t="str">
        <v>91282CQL Govt</v>
      </c>
      <c r="P6" t="str">
        <v>2Y</v>
      </c>
      <c r="Q6">
        <v>3.8719999999999999</v>
      </c>
    </row>
    <row r="7" spans="2:17" x14ac:dyDescent="0.25">
      <c r="B7" t="s">
        <v>10</v>
      </c>
      <c r="C7" s="17" t="s">
        <v>2</v>
      </c>
      <c r="D7" s="9" cm="1">
        <f t="array" ref="D7">+_xll.BDH($B7,"PX_LAST",D$5)</f>
        <v>3.6841900000000001</v>
      </c>
      <c r="E7" s="9" cm="1">
        <f t="array" ref="E7">+_xll.BDH($B7,"PX_LAST",E$5)</f>
        <v>3.7138399999999998</v>
      </c>
      <c r="F7" s="11">
        <f t="shared" ref="F7:F8" si="0">+E7-D7</f>
        <v>2.9649999999999732E-2</v>
      </c>
      <c r="H7" s="1" t="s">
        <v>14</v>
      </c>
      <c r="I7" s="12">
        <v>46082</v>
      </c>
      <c r="J7" s="6" cm="1">
        <f t="array" ref="J7">100-+_xll.BDH($H7,"PX_LAST",J$5)</f>
        <v>3.6574999999999989</v>
      </c>
      <c r="K7" s="6" cm="1">
        <f t="array" ref="K7">100-+_xll.BDH($H7,"PX_LAST",K$5)</f>
        <v>3.6299999999999955</v>
      </c>
      <c r="L7" s="11">
        <f t="shared" ref="L7:L28" si="1">+K7-J7</f>
        <v>-2.7500000000003411E-2</v>
      </c>
      <c r="M7" s="5"/>
      <c r="N7" s="5"/>
      <c r="O7" t="str">
        <v>91282CQK Govt</v>
      </c>
      <c r="P7" t="str">
        <v>5Y</v>
      </c>
      <c r="Q7">
        <v>4.0060000000000002</v>
      </c>
    </row>
    <row r="8" spans="2:17" ht="15.75" thickBot="1" x14ac:dyDescent="0.3">
      <c r="B8" t="s">
        <v>11</v>
      </c>
      <c r="C8" s="17" t="s">
        <v>3</v>
      </c>
      <c r="D8" s="9" cm="1">
        <f t="array" ref="D8">+_xll.BDH($B8,"PX_LAST",D$5)</f>
        <v>3.7411099999999999</v>
      </c>
      <c r="E8" s="9" cm="1">
        <f t="array" ref="E8">+_xll.BDH($B8,"PX_LAST",E$5)</f>
        <v>3.8359100000000002</v>
      </c>
      <c r="F8" s="11">
        <f t="shared" si="0"/>
        <v>9.4800000000000217E-2</v>
      </c>
      <c r="H8" s="1" t="s">
        <v>15</v>
      </c>
      <c r="I8" s="12">
        <v>46113</v>
      </c>
      <c r="J8" s="6" cm="1">
        <f t="array" ref="J8">100-+_xll.BDH($H8,"PX_LAST",J$5)</f>
        <v>3.6599999999999966</v>
      </c>
      <c r="K8" s="6" cm="1">
        <f t="array" ref="K8">100-+_xll.BDH($H8,"PX_LAST",K$5)</f>
        <v>3.6274999999999977</v>
      </c>
      <c r="L8" s="11">
        <f t="shared" si="1"/>
        <v>-3.2499999999998863E-2</v>
      </c>
      <c r="M8" s="5"/>
      <c r="N8" s="5"/>
      <c r="O8" t="str">
        <v>91282CPZ Govt</v>
      </c>
      <c r="P8" t="str">
        <v>10Y</v>
      </c>
      <c r="Q8">
        <v>4.3719999999999999</v>
      </c>
    </row>
    <row r="9" spans="2:17" ht="15.75" thickBot="1" x14ac:dyDescent="0.3">
      <c r="C9" s="27" t="s">
        <v>4</v>
      </c>
      <c r="D9" s="28"/>
      <c r="E9" s="28"/>
      <c r="F9" s="29"/>
      <c r="H9" s="1" t="s">
        <v>16</v>
      </c>
      <c r="I9" s="12">
        <v>46143</v>
      </c>
      <c r="J9" s="6" cm="1">
        <f t="array" ref="J9">100-+_xll.BDH($H9,"PX_LAST",J$5)</f>
        <v>3.6574999999999989</v>
      </c>
      <c r="K9" s="6" cm="1">
        <f t="array" ref="K9">100-+_xll.BDH($H9,"PX_LAST",K$5)</f>
        <v>3.6424999999999983</v>
      </c>
      <c r="L9" s="11">
        <f t="shared" si="1"/>
        <v>-1.5000000000000568E-2</v>
      </c>
      <c r="M9" s="5"/>
      <c r="N9" s="5"/>
    </row>
    <row r="10" spans="2:17" x14ac:dyDescent="0.25">
      <c r="C10" s="1" t="s">
        <v>5</v>
      </c>
      <c r="D10" s="2">
        <f>+Q6</f>
        <v>3.8719999999999999</v>
      </c>
      <c r="E10" s="2">
        <f>+Q11</f>
        <v>4.0049999999999999</v>
      </c>
      <c r="F10" s="11">
        <f>+E10-D10</f>
        <v>0.13300000000000001</v>
      </c>
      <c r="H10" s="1" t="s">
        <v>17</v>
      </c>
      <c r="I10" s="12">
        <v>46174</v>
      </c>
      <c r="J10" s="6" cm="1">
        <f t="array" ref="J10">100-+_xll.BDH($H10,"PX_LAST",J$5)</f>
        <v>3.6550000000000011</v>
      </c>
      <c r="K10" s="6" cm="1">
        <f t="array" ref="K10">100-+_xll.BDH($H10,"PX_LAST",K$5)</f>
        <v>3.6650000000000063</v>
      </c>
      <c r="L10" s="11">
        <f t="shared" si="1"/>
        <v>1.0000000000005116E-2</v>
      </c>
      <c r="M10" s="5"/>
      <c r="N10" s="5"/>
      <c r="O10" t="str" cm="1">
        <f t="array" ref="O10:Q13">_xll.BQL("curvemembers('YCGT0025 Index';tenors=['2Y','5Y','10Y'])","id().tenor;rate(side=mid).value","dates=2026-05-29")</f>
        <v>ID</v>
      </c>
      <c r="P10" t="str">
        <v>id().tenor</v>
      </c>
      <c r="Q10" t="str">
        <v>rate(side=mid).value</v>
      </c>
    </row>
    <row r="11" spans="2:17" x14ac:dyDescent="0.25">
      <c r="C11" s="1" t="s">
        <v>6</v>
      </c>
      <c r="D11" s="2">
        <f>+Q7</f>
        <v>4.0060000000000002</v>
      </c>
      <c r="E11" s="2">
        <f>+Q12</f>
        <v>4.1420000000000003</v>
      </c>
      <c r="F11" s="11">
        <f t="shared" ref="F11:F12" si="2">+E11-D11</f>
        <v>0.13600000000000012</v>
      </c>
      <c r="H11" s="1" t="s">
        <v>18</v>
      </c>
      <c r="I11" s="12">
        <v>46204</v>
      </c>
      <c r="J11" s="6" cm="1">
        <f t="array" ref="J11">100-+_xll.BDH($H11,"PX_LAST",J$5)</f>
        <v>3.6550000000000011</v>
      </c>
      <c r="K11" s="6" cm="1">
        <f t="array" ref="K11">100-+_xll.BDH($H11,"PX_LAST",K$5)</f>
        <v>3.6949999999999932</v>
      </c>
      <c r="L11" s="11">
        <f t="shared" si="1"/>
        <v>3.9999999999992042E-2</v>
      </c>
      <c r="M11" s="5"/>
      <c r="N11" s="5"/>
      <c r="O11" t="str">
        <v>91282CQS Govt</v>
      </c>
      <c r="P11" t="str">
        <v>2Y</v>
      </c>
      <c r="Q11">
        <v>4.0049999999999999</v>
      </c>
    </row>
    <row r="12" spans="2:17" x14ac:dyDescent="0.25">
      <c r="C12" s="3" t="s">
        <v>7</v>
      </c>
      <c r="D12" s="30">
        <f>+Q8</f>
        <v>4.3719999999999999</v>
      </c>
      <c r="E12" s="30">
        <f>+Q13</f>
        <v>4.4370000000000003</v>
      </c>
      <c r="F12" s="13">
        <f t="shared" si="2"/>
        <v>6.5000000000000391E-2</v>
      </c>
      <c r="H12" s="1" t="s">
        <v>19</v>
      </c>
      <c r="I12" s="12">
        <v>46235</v>
      </c>
      <c r="J12" s="6" cm="1">
        <f t="array" ref="J12">100-+_xll.BDH($H12,"PX_LAST",J$5)</f>
        <v>3.6550000000000011</v>
      </c>
      <c r="K12" s="6" cm="1">
        <f t="array" ref="K12">100-+_xll.BDH($H12,"PX_LAST",K$5)</f>
        <v>3.7199999999999989</v>
      </c>
      <c r="L12" s="11">
        <f t="shared" si="1"/>
        <v>6.4999999999997726E-2</v>
      </c>
      <c r="M12" s="5"/>
      <c r="N12" s="5"/>
      <c r="O12" t="str">
        <v>91282CQU Govt</v>
      </c>
      <c r="P12" t="str">
        <v>5Y</v>
      </c>
      <c r="Q12">
        <v>4.1420000000000003</v>
      </c>
    </row>
    <row r="13" spans="2:17" ht="15.75" thickBot="1" x14ac:dyDescent="0.3">
      <c r="H13" s="1" t="s">
        <v>20</v>
      </c>
      <c r="I13" s="12">
        <v>46266</v>
      </c>
      <c r="J13" s="6" cm="1">
        <f t="array" ref="J13">100-+_xll.BDH($H13,"PX_LAST",J$5)</f>
        <v>3.6500000000000057</v>
      </c>
      <c r="K13" s="6" cm="1">
        <f t="array" ref="K13">100-+_xll.BDH($H13,"PX_LAST",K$5)</f>
        <v>3.7349999999999994</v>
      </c>
      <c r="L13" s="11">
        <f t="shared" si="1"/>
        <v>8.4999999999993747E-2</v>
      </c>
      <c r="M13" s="5"/>
      <c r="N13" s="5"/>
      <c r="O13" t="str">
        <v>91282CQQ Govt</v>
      </c>
      <c r="P13" t="str">
        <v>10Y</v>
      </c>
      <c r="Q13">
        <v>4.4370000000000003</v>
      </c>
    </row>
    <row r="14" spans="2:17" ht="15.75" thickBot="1" x14ac:dyDescent="0.3">
      <c r="B14" t="s">
        <v>54</v>
      </c>
      <c r="C14" s="27" t="s">
        <v>53</v>
      </c>
      <c r="D14" s="28"/>
      <c r="E14" s="28"/>
      <c r="F14" s="29"/>
      <c r="H14" s="1" t="s">
        <v>21</v>
      </c>
      <c r="I14" s="12">
        <v>46296</v>
      </c>
      <c r="J14" s="6" cm="1">
        <f t="array" ref="J14">100-+_xll.BDH($H14,"PX_LAST",J$5)</f>
        <v>3.6650000000000063</v>
      </c>
      <c r="K14" s="6" cm="1">
        <f t="array" ref="K14">100-+_xll.BDH($H14,"PX_LAST",K$5)</f>
        <v>3.7750000000000057</v>
      </c>
      <c r="L14" s="11">
        <f t="shared" si="1"/>
        <v>0.10999999999999943</v>
      </c>
      <c r="M14" s="5"/>
      <c r="N14" s="5"/>
    </row>
    <row r="15" spans="2:17" ht="15.75" thickBot="1" x14ac:dyDescent="0.3">
      <c r="C15" s="3"/>
      <c r="D15" s="10" cm="1">
        <f t="array" ref="D15">+_xll.BDH($B14,"PX_LAST",D$17)</f>
        <v>3.64</v>
      </c>
      <c r="E15" s="10" cm="1">
        <f t="array" ref="E15">+_xll.BDH($B14,"PX_LAST",E$5)</f>
        <v>3.62</v>
      </c>
      <c r="F15" s="13">
        <f>+E15-D15</f>
        <v>-2.0000000000000018E-2</v>
      </c>
      <c r="H15" s="1" t="s">
        <v>22</v>
      </c>
      <c r="I15" s="12">
        <v>46327</v>
      </c>
      <c r="J15" s="6" t="e" cm="1">
        <f t="array" ref="J15">100-+_xll.BDH($H15,"PX_LAST",J$5)</f>
        <v>#VALUE!</v>
      </c>
      <c r="K15" s="6" cm="1">
        <f t="array" ref="K15">100-+_xll.BDH($H15,"PX_LAST",K$5)</f>
        <v>3.8050000000000068</v>
      </c>
      <c r="L15" s="11" t="e">
        <f t="shared" si="1"/>
        <v>#VALUE!</v>
      </c>
      <c r="M15" s="5"/>
      <c r="N15" s="5"/>
    </row>
    <row r="16" spans="2:17" x14ac:dyDescent="0.25">
      <c r="C16" s="24" t="s">
        <v>51</v>
      </c>
      <c r="D16" s="25"/>
      <c r="E16" s="25"/>
      <c r="F16" s="26"/>
      <c r="H16" s="1" t="s">
        <v>23</v>
      </c>
      <c r="I16" s="12">
        <v>46357</v>
      </c>
      <c r="J16" s="6" cm="1">
        <f t="array" ref="J16">100-+_xll.BDH($H16,"PX_LAST",J$5)</f>
        <v>3.6899999999999977</v>
      </c>
      <c r="K16" s="6" cm="1">
        <f t="array" ref="K16">100-+_xll.BDH($H16,"PX_LAST",K$5)</f>
        <v>3.8299999999999983</v>
      </c>
      <c r="L16" s="11">
        <f t="shared" si="1"/>
        <v>0.14000000000000057</v>
      </c>
      <c r="M16" s="5"/>
      <c r="N16" s="5"/>
    </row>
    <row r="17" spans="2:14" x14ac:dyDescent="0.25">
      <c r="C17" s="14" t="s">
        <v>39</v>
      </c>
      <c r="D17" s="15">
        <v>46142</v>
      </c>
      <c r="E17" s="15">
        <v>46171</v>
      </c>
      <c r="F17" s="16" t="s">
        <v>52</v>
      </c>
      <c r="H17" s="1" t="s">
        <v>24</v>
      </c>
      <c r="I17" s="12">
        <v>46447</v>
      </c>
      <c r="J17" s="6" cm="1">
        <f t="array" ref="J17">100-+_xll.BDH($H17,"PX_LAST",J$5)</f>
        <v>3.7399999999999949</v>
      </c>
      <c r="K17" s="6" cm="1">
        <f t="array" ref="K17">100-+_xll.BDH($H17,"PX_LAST",K$5)</f>
        <v>3.9000000000000057</v>
      </c>
      <c r="L17" s="11">
        <f t="shared" si="1"/>
        <v>0.1600000000000108</v>
      </c>
      <c r="M17" s="5"/>
      <c r="N17" s="5"/>
    </row>
    <row r="18" spans="2:14" x14ac:dyDescent="0.25">
      <c r="B18" t="s">
        <v>40</v>
      </c>
      <c r="C18" s="18">
        <v>46174</v>
      </c>
      <c r="D18" s="19" cm="1">
        <f t="array" ref="D18">+_xll.BDH($B18,"PX_LAST",D$17)</f>
        <v>3.6309999999999998</v>
      </c>
      <c r="E18" s="19" cm="1">
        <f t="array" ref="E18">+_xll.BDH($B18,"PX_LAST",E$17)</f>
        <v>3.6230000000000002</v>
      </c>
      <c r="F18" s="20">
        <f>+E18-$E$15</f>
        <v>3.0000000000001137E-3</v>
      </c>
      <c r="H18" s="1" t="s">
        <v>25</v>
      </c>
      <c r="I18" s="12">
        <v>46539</v>
      </c>
      <c r="J18" s="6" cm="1">
        <f t="array" ref="J18">100-+_xll.BDH($H18,"PX_LAST",J$5)</f>
        <v>3.730000000000004</v>
      </c>
      <c r="K18" s="6" cm="1">
        <f t="array" ref="K18">100-+_xll.BDH($H18,"PX_LAST",K$5)</f>
        <v>3.9150000000000063</v>
      </c>
      <c r="L18" s="11">
        <f t="shared" si="1"/>
        <v>0.18500000000000227</v>
      </c>
      <c r="M18" s="5"/>
      <c r="N18" s="5"/>
    </row>
    <row r="19" spans="2:14" x14ac:dyDescent="0.25">
      <c r="B19" t="s">
        <v>41</v>
      </c>
      <c r="C19" s="12">
        <v>46204</v>
      </c>
      <c r="D19" s="9" cm="1">
        <f t="array" ref="D19">+_xll.BDH($B19,"PX_LAST",D$5)</f>
        <v>3.613</v>
      </c>
      <c r="E19" s="9" cm="1">
        <f t="array" ref="E19">+_xll.BDH($B19,"PX_LAST",E$5)</f>
        <v>3.6429999999999998</v>
      </c>
      <c r="F19" s="11">
        <f>+E19-$E$15</f>
        <v>2.2999999999999687E-2</v>
      </c>
      <c r="H19" s="1" t="s">
        <v>26</v>
      </c>
      <c r="I19" s="12">
        <v>46631</v>
      </c>
      <c r="J19" s="6" cm="1">
        <f t="array" ref="J19">100-+_xll.BDH($H19,"PX_LAST",J$5)</f>
        <v>3.6650000000000063</v>
      </c>
      <c r="K19" s="6" cm="1">
        <f t="array" ref="K19">100-+_xll.BDH($H19,"PX_LAST",K$5)</f>
        <v>3.8850000000000051</v>
      </c>
      <c r="L19" s="11">
        <f t="shared" si="1"/>
        <v>0.21999999999999886</v>
      </c>
      <c r="M19" s="5"/>
      <c r="N19" s="5"/>
    </row>
    <row r="20" spans="2:14" x14ac:dyDescent="0.25">
      <c r="B20" t="s">
        <v>42</v>
      </c>
      <c r="C20" s="12">
        <v>46266</v>
      </c>
      <c r="D20" s="9" cm="1">
        <f t="array" ref="D20">+_xll.BDH($B20,"PX_LAST",D$5)</f>
        <v>3.6019999999999999</v>
      </c>
      <c r="E20" s="9" cm="1">
        <f t="array" ref="E20">+_xll.BDH($B20,"PX_LAST",E$5)</f>
        <v>3.6840000000000002</v>
      </c>
      <c r="F20" s="11">
        <f>+E20-$E$15</f>
        <v>6.4000000000000057E-2</v>
      </c>
      <c r="H20" s="1" t="s">
        <v>27</v>
      </c>
      <c r="I20" s="12">
        <v>46722</v>
      </c>
      <c r="J20" s="6" cm="1">
        <f t="array" ref="J20">100-+_xll.BDH($H20,"PX_LAST",J$5)</f>
        <v>3.5949999999999989</v>
      </c>
      <c r="K20" s="6" cm="1">
        <f t="array" ref="K20">100-+_xll.BDH($H20,"PX_LAST",K$5)</f>
        <v>3.8400000000000034</v>
      </c>
      <c r="L20" s="11">
        <f t="shared" si="1"/>
        <v>0.24500000000000455</v>
      </c>
      <c r="M20" s="5"/>
      <c r="N20" s="5"/>
    </row>
    <row r="21" spans="2:14" x14ac:dyDescent="0.25">
      <c r="B21" t="s">
        <v>43</v>
      </c>
      <c r="C21" s="12">
        <v>46296</v>
      </c>
      <c r="D21" s="9" cm="1">
        <f t="array" ref="D21">+_xll.BDH($B21,"PX_LAST",D$5)</f>
        <v>3.6030000000000002</v>
      </c>
      <c r="E21" s="9" cm="1">
        <f t="array" ref="E21">+_xll.BDH($B21,"PX_LAST",E$5)</f>
        <v>3.7080000000000002</v>
      </c>
      <c r="F21" s="11">
        <f>+E21-$E$15</f>
        <v>8.8000000000000078E-2</v>
      </c>
      <c r="H21" s="1" t="s">
        <v>28</v>
      </c>
      <c r="I21" s="12">
        <v>46813</v>
      </c>
      <c r="J21" s="6" cm="1">
        <f t="array" ref="J21">100-+_xll.BDH($H21,"PX_LAST",J$5)</f>
        <v>3.5699999999999932</v>
      </c>
      <c r="K21" s="6" cm="1">
        <f t="array" ref="K21">100-+_xll.BDH($H21,"PX_LAST",K$5)</f>
        <v>3.8050000000000068</v>
      </c>
      <c r="L21" s="11">
        <f t="shared" si="1"/>
        <v>0.23500000000001364</v>
      </c>
      <c r="M21" s="5"/>
      <c r="N21" s="5"/>
    </row>
    <row r="22" spans="2:14" x14ac:dyDescent="0.25">
      <c r="B22" t="s">
        <v>44</v>
      </c>
      <c r="C22" s="12">
        <v>46357</v>
      </c>
      <c r="D22" s="9" cm="1">
        <f t="array" ref="D22">+_xll.BDH($B22,"PX_LAST",D$5)</f>
        <v>3.6309999999999998</v>
      </c>
      <c r="E22" s="9" cm="1">
        <f t="array" ref="E22">+_xll.BDH($B22,"PX_LAST",E$5)</f>
        <v>3.6230000000000002</v>
      </c>
      <c r="F22" s="11">
        <f>+E22-$E$15</f>
        <v>3.0000000000001137E-3</v>
      </c>
      <c r="H22" s="1" t="s">
        <v>29</v>
      </c>
      <c r="I22" s="12">
        <v>46905</v>
      </c>
      <c r="J22" s="6" cm="1">
        <f t="array" ref="J22">100-+_xll.BDH($H22,"PX_LAST",J$5)</f>
        <v>3.5699999999999932</v>
      </c>
      <c r="K22" s="6" cm="1">
        <f t="array" ref="K22">100-+_xll.BDH($H22,"PX_LAST",K$5)</f>
        <v>3.7950000000000017</v>
      </c>
      <c r="L22" s="11">
        <f t="shared" si="1"/>
        <v>0.22500000000000853</v>
      </c>
      <c r="M22" s="5"/>
      <c r="N22" s="5"/>
    </row>
    <row r="23" spans="2:14" x14ac:dyDescent="0.25">
      <c r="B23" t="s">
        <v>45</v>
      </c>
      <c r="C23" s="12">
        <v>46388</v>
      </c>
      <c r="D23" s="9" cm="1">
        <f t="array" ref="D23">+_xll.BDH($B23,"PX_LAST",D$5)</f>
        <v>3.6429999999999998</v>
      </c>
      <c r="E23" s="9" cm="1">
        <f t="array" ref="E23">+_xll.BDH($B23,"PX_LAST",E$5)</f>
        <v>3.7949999999999999</v>
      </c>
      <c r="F23" s="11">
        <f>+E23-$E$15</f>
        <v>0.17499999999999982</v>
      </c>
      <c r="H23" s="1" t="s">
        <v>30</v>
      </c>
      <c r="I23" s="12">
        <v>46997</v>
      </c>
      <c r="J23" s="6" cm="1">
        <f t="array" ref="J23">100-+_xll.BDH($H23,"PX_LAST",J$5)</f>
        <v>3.5900000000000034</v>
      </c>
      <c r="K23" s="6" cm="1">
        <f t="array" ref="K23">100-+_xll.BDH($H23,"PX_LAST",K$5)</f>
        <v>3.7950000000000017</v>
      </c>
      <c r="L23" s="11">
        <f t="shared" si="1"/>
        <v>0.20499999999999829</v>
      </c>
      <c r="M23" s="5"/>
      <c r="N23" s="5"/>
    </row>
    <row r="24" spans="2:14" x14ac:dyDescent="0.25">
      <c r="B24" t="s">
        <v>46</v>
      </c>
      <c r="C24" s="12">
        <v>46447</v>
      </c>
      <c r="D24" s="9" cm="1">
        <f t="array" ref="D24">+_xll.BDH($B24,"PX_LAST",D$5)</f>
        <v>3.6709999999999998</v>
      </c>
      <c r="E24" s="9" cm="1">
        <f t="array" ref="E24">+_xll.BDH($B24,"PX_LAST",E$5)</f>
        <v>3.85</v>
      </c>
      <c r="F24" s="11">
        <f>+E24-$E$15</f>
        <v>0.22999999999999998</v>
      </c>
      <c r="H24" s="1" t="s">
        <v>31</v>
      </c>
      <c r="I24" s="12">
        <v>47088</v>
      </c>
      <c r="J24" s="6" cm="1">
        <f t="array" ref="J24">100-+_xll.BDH($H24,"PX_LAST",J$5)</f>
        <v>3.6149999999999949</v>
      </c>
      <c r="K24" s="6" cm="1">
        <f t="array" ref="K24">100-+_xll.BDH($H24,"PX_LAST",K$5)</f>
        <v>3.7999999999999972</v>
      </c>
      <c r="L24" s="11">
        <f t="shared" si="1"/>
        <v>0.18500000000000227</v>
      </c>
      <c r="M24" s="5"/>
      <c r="N24" s="5"/>
    </row>
    <row r="25" spans="2:14" x14ac:dyDescent="0.25">
      <c r="B25" t="s">
        <v>47</v>
      </c>
      <c r="C25" s="12">
        <v>46478</v>
      </c>
      <c r="D25" s="9" cm="1">
        <f t="array" ref="D25">+_xll.BDH($B25,"PX_LAST",D$5)</f>
        <v>3.6880000000000002</v>
      </c>
      <c r="E25" s="9" cm="1">
        <f t="array" ref="E25">+_xll.BDH($B25,"PX_LAST",E$5)</f>
        <v>3.8650000000000002</v>
      </c>
      <c r="F25" s="11">
        <f>+E25-$E$15</f>
        <v>0.24500000000000011</v>
      </c>
      <c r="H25" s="1" t="s">
        <v>32</v>
      </c>
      <c r="I25" s="12">
        <v>47178</v>
      </c>
      <c r="J25" s="6" cm="1">
        <f t="array" ref="J25">100-+_xll.BDH($H25,"PX_LAST",J$5)</f>
        <v>3.644999999999996</v>
      </c>
      <c r="K25" s="6" cm="1">
        <f t="array" ref="K25">100-+_xll.BDH($H25,"PX_LAST",K$5)</f>
        <v>3.8100000000000023</v>
      </c>
      <c r="L25" s="11">
        <f t="shared" si="1"/>
        <v>0.16500000000000625</v>
      </c>
      <c r="M25" s="5"/>
      <c r="N25" s="5"/>
    </row>
    <row r="26" spans="2:14" x14ac:dyDescent="0.25">
      <c r="B26" t="s">
        <v>48</v>
      </c>
      <c r="C26" s="12">
        <v>46539</v>
      </c>
      <c r="D26" s="9" cm="1">
        <f t="array" ref="D26">+_xll.BDH($B26,"PX_LAST",D$5)</f>
        <v>3.67</v>
      </c>
      <c r="E26" s="9" cm="1">
        <f t="array" ref="E26">+_xll.BDH($B26,"PX_LAST",E$5)</f>
        <v>3.8620000000000001</v>
      </c>
      <c r="F26" s="11">
        <f>+E26-$E$15</f>
        <v>0.24199999999999999</v>
      </c>
      <c r="H26" s="1" t="s">
        <v>33</v>
      </c>
      <c r="I26" s="12">
        <v>47270</v>
      </c>
      <c r="J26" s="6" cm="1">
        <f t="array" ref="J26">100-+_xll.BDH($H26,"PX_LAST",J$5)</f>
        <v>3.6700000000000017</v>
      </c>
      <c r="K26" s="6" cm="1">
        <f t="array" ref="K26">100-+_xll.BDH($H26,"PX_LAST",K$5)</f>
        <v>3.8250000000000028</v>
      </c>
      <c r="L26" s="11">
        <f t="shared" si="1"/>
        <v>0.15500000000000114</v>
      </c>
      <c r="M26" s="5"/>
      <c r="N26" s="5"/>
    </row>
    <row r="27" spans="2:14" x14ac:dyDescent="0.25">
      <c r="B27" t="s">
        <v>49</v>
      </c>
      <c r="C27" s="12">
        <v>46569</v>
      </c>
      <c r="D27" s="9" cm="1">
        <f t="array" ref="D27">+_xll.BDH($B27,"PX_LAST",D$5)</f>
        <v>3.645</v>
      </c>
      <c r="E27" s="9" cm="1">
        <f t="array" ref="E27">+_xll.BDH($B27,"PX_LAST",E$5)</f>
        <v>3.86</v>
      </c>
      <c r="F27" s="11">
        <f>+E27-$E$15</f>
        <v>0.23999999999999977</v>
      </c>
      <c r="H27" s="1" t="s">
        <v>34</v>
      </c>
      <c r="I27" s="12">
        <v>47362</v>
      </c>
      <c r="J27" s="6" cm="1">
        <f t="array" ref="J27">100-+_xll.BDH($H27,"PX_LAST",J$5)</f>
        <v>3.7000000000000028</v>
      </c>
      <c r="K27" s="6" cm="1">
        <f t="array" ref="K27">100-+_xll.BDH($H27,"PX_LAST",K$5)</f>
        <v>3.8400000000000034</v>
      </c>
      <c r="L27" s="11">
        <f t="shared" si="1"/>
        <v>0.14000000000000057</v>
      </c>
      <c r="M27" s="5"/>
      <c r="N27" s="5"/>
    </row>
    <row r="28" spans="2:14" x14ac:dyDescent="0.25">
      <c r="B28" t="s">
        <v>50</v>
      </c>
      <c r="C28" s="21">
        <v>46631</v>
      </c>
      <c r="D28" s="10" t="str" cm="1">
        <f t="array" ref="D28">+_xll.BDH($B28,"PX_LAST",D$5)</f>
        <v>#N/A N/A</v>
      </c>
      <c r="E28" s="10" cm="1">
        <f t="array" ref="E28">+_xll.BDH($B28,"PX_LAST",E$5)</f>
        <v>3.72</v>
      </c>
      <c r="F28" s="13">
        <f>+E28-$E$15</f>
        <v>0.10000000000000009</v>
      </c>
      <c r="H28" s="1" t="s">
        <v>35</v>
      </c>
      <c r="I28" s="21">
        <v>47453</v>
      </c>
      <c r="J28" s="7" cm="1">
        <f t="array" ref="J28">100-+_xll.BDH($H28,"PX_LAST",J$5)</f>
        <v>3.7349999999999994</v>
      </c>
      <c r="K28" s="7" cm="1">
        <f t="array" ref="K28">100-+_xll.BDH($H28,"PX_LAST",K$5)</f>
        <v>3.8599999999999994</v>
      </c>
      <c r="L28" s="13">
        <f t="shared" si="1"/>
        <v>0.125</v>
      </c>
      <c r="M28" s="5"/>
      <c r="N28" s="5"/>
    </row>
  </sheetData>
  <mergeCells count="5">
    <mergeCell ref="I4:L4"/>
    <mergeCell ref="C16:F16"/>
    <mergeCell ref="C4:F4"/>
    <mergeCell ref="C9:F9"/>
    <mergeCell ref="C14:F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Brandini Romersi, Alfonso Alberto</dc:creator>
  <cp:lastModifiedBy>Brandini Romersi, Alfonso Alberto</cp:lastModifiedBy>
  <dcterms:created xsi:type="dcterms:W3CDTF">2026-05-27T19:44:24Z</dcterms:created>
  <dcterms:modified xsi:type="dcterms:W3CDTF">2026-06-01T19:46:33Z</dcterms:modified>
</cp:coreProperties>
</file>