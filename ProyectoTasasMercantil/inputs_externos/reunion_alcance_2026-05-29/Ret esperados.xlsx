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730254\Downloads\"/>
    </mc:Choice>
  </mc:AlternateContent>
  <xr:revisionPtr revIDLastSave="0" documentId="8_{851BAA15-6F90-40D9-916E-4912E51A06E1}" xr6:coauthVersionLast="47" xr6:coauthVersionMax="47" xr10:uidLastSave="{00000000-0000-0000-0000-000000000000}"/>
  <bookViews>
    <workbookView xWindow="28680" yWindow="-120" windowWidth="29040" windowHeight="15720" xr2:uid="{D81315BC-3CFD-4EDC-9AAD-A736FCB5FFCE}"/>
  </bookViews>
  <sheets>
    <sheet name="Retornos Esperados" sheetId="1" r:id="rId1"/>
  </sheets>
  <externalReferences>
    <externalReference r:id="rId2"/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8" i="1" l="1"/>
  <c r="E27" i="1" a="1"/>
  <c r="E27" i="1" s="1"/>
  <c r="B27" i="1"/>
  <c r="J26" i="1" a="1"/>
  <c r="J26" i="1" s="1"/>
  <c r="E26" i="1" a="1"/>
  <c r="E26" i="1" s="1"/>
  <c r="J25" i="1" a="1"/>
  <c r="J25" i="1" s="1"/>
  <c r="E25" i="1" a="1"/>
  <c r="E25" i="1" s="1"/>
  <c r="B25" i="1"/>
  <c r="J24" i="1" a="1"/>
  <c r="J24" i="1" s="1"/>
  <c r="E24" i="1" a="1"/>
  <c r="E24" i="1" s="1"/>
  <c r="B24" i="1"/>
  <c r="J23" i="1" a="1"/>
  <c r="J23" i="1" s="1"/>
  <c r="F23" i="1"/>
  <c r="B23" i="1"/>
  <c r="J22" i="1" a="1"/>
  <c r="J22" i="1" s="1"/>
  <c r="F22" i="1"/>
  <c r="E22" i="1" a="1"/>
  <c r="E22" i="1" s="1"/>
  <c r="H22" i="1" s="1"/>
  <c r="L22" i="1" s="1"/>
  <c r="C22" i="1"/>
  <c r="B22" i="1"/>
  <c r="C12" i="1"/>
  <c r="C13" i="1" s="1"/>
  <c r="C9" i="1"/>
  <c r="M27" i="1" s="1"/>
  <c r="F27" i="1" l="1"/>
  <c r="H27" i="1" s="1"/>
  <c r="L27" i="1" s="1"/>
  <c r="O27" i="1" s="1"/>
  <c r="P27" i="1" s="1"/>
  <c r="C16" i="1"/>
  <c r="F24" i="1"/>
  <c r="H24" i="1" s="1"/>
  <c r="L24" i="1" s="1"/>
  <c r="F25" i="1"/>
  <c r="H25" i="1" s="1"/>
  <c r="L25" i="1" s="1"/>
  <c r="H23" i="1"/>
  <c r="L23" i="1" s="1"/>
  <c r="F26" i="1"/>
  <c r="H26" i="1" s="1"/>
  <c r="L26" i="1" s="1"/>
  <c r="M26" i="1"/>
  <c r="O26" i="1" s="1"/>
  <c r="P26" i="1" s="1"/>
  <c r="M24" i="1"/>
  <c r="M23" i="1"/>
  <c r="M25" i="1"/>
  <c r="M22" i="1"/>
  <c r="O22" i="1" s="1"/>
  <c r="P22" i="1" l="1"/>
  <c r="O24" i="1"/>
  <c r="P24" i="1" s="1"/>
  <c r="O23" i="1"/>
  <c r="O25" i="1"/>
  <c r="P25" i="1" s="1"/>
  <c r="P23" i="1" l="1"/>
  <c r="S2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<sst xmlns="http://schemas.openxmlformats.org/spreadsheetml/2006/main" count="51" uniqueCount="46">
  <si>
    <t>Revisión de Retornos Esperados:</t>
  </si>
  <si>
    <t>La Fed no subiría tasas en 2026 (vs WIRP que descuenta casi una subida en diciembre 2026). Esto es consistente con múltiplos de stocks sin cambios.</t>
  </si>
  <si>
    <t>Spreads estables. Sin espacio a compresión.</t>
  </si>
  <si>
    <t>Si se desacelera la economía y se abren lo spreads, la expectativa de tasas de interés caería, compensando pérdidas por spreads.</t>
  </si>
  <si>
    <t>1. Metodología de cálculo:</t>
  </si>
  <si>
    <t>1.1. Expected Return RF: carry o yield actual + variaciones de tasas (en comparación con WIRP)</t>
  </si>
  <si>
    <t>Ajuste anual (meses)</t>
  </si>
  <si>
    <t>Delta tasas hoy (WIRP)</t>
  </si>
  <si>
    <t>Delta tasas cierre 2026 (WIRP)</t>
  </si>
  <si>
    <t>Promedio delta tasas 2026 (WIRP)</t>
  </si>
  <si>
    <t>Variación tasas 2H 2026 (delta vs WIRP)</t>
  </si>
  <si>
    <t>1.2. Expected Return RV: dividend yield + earnings growth + variación de múltiplos</t>
  </si>
  <si>
    <t>ACWI - Dividend Yield</t>
  </si>
  <si>
    <t>ACWI - Earnings Growth</t>
  </si>
  <si>
    <t>ACWI - Delta de Múltiplos</t>
  </si>
  <si>
    <t>(Cambiaría con expectativas de tasas)</t>
  </si>
  <si>
    <t>2. Resultados</t>
  </si>
  <si>
    <t>Asset Class</t>
  </si>
  <si>
    <t>ETF de referencia</t>
  </si>
  <si>
    <t>ETF Yield BBG</t>
  </si>
  <si>
    <t>Yield según spreads</t>
  </si>
  <si>
    <t>Comentarios</t>
  </si>
  <si>
    <t>Yield Actual</t>
  </si>
  <si>
    <t>Duración</t>
  </si>
  <si>
    <t>Componente 1: Carry / Dvd Yield</t>
  </si>
  <si>
    <t>Componente 2: P&amp;L Capital / Earnings Growth</t>
  </si>
  <si>
    <t>Componente 3: Delta Múltiplos</t>
  </si>
  <si>
    <t>Retorno Esperado JUN-DIC</t>
  </si>
  <si>
    <t>Retorno Esperado ANUALIZADO</t>
  </si>
  <si>
    <t>Allocation</t>
  </si>
  <si>
    <t>Resultado  JUN-DIC</t>
  </si>
  <si>
    <t>Promedio esperado 2026</t>
  </si>
  <si>
    <t>-</t>
  </si>
  <si>
    <t>IGLA LN Equity</t>
  </si>
  <si>
    <t>GHYG US Equity</t>
  </si>
  <si>
    <t>260 bps de spread vs T-Notes</t>
  </si>
  <si>
    <t>LQD US Equity</t>
  </si>
  <si>
    <t>70 bps de spread vs T-Notes</t>
  </si>
  <si>
    <t>EM Bonds</t>
  </si>
  <si>
    <t>EMB US Equity</t>
  </si>
  <si>
    <t>170 bps de spread vs T-Notes</t>
  </si>
  <si>
    <t>ACWI US Equity</t>
  </si>
  <si>
    <t>Dvd yield</t>
  </si>
  <si>
    <t>Hacer escenarios</t>
  </si>
  <si>
    <t>Retornos condicionados en todos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</si>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</sst>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0%"/>
    <numFmt numFmtId="165" formatCode="0.000%"/>
    <numFmt numFmtId="166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43" fontId="1" fillId="0" borderId="0" xfId="1" applyFont="1" applyFill="1" applyBorder="1" applyAlignment="1">
      <alignment horizontal="right" vertical="center"/>
    </xf>
    <xf numFmtId="43" fontId="3" fillId="0" borderId="0" xfId="1" applyFont="1" applyFill="1" applyBorder="1" applyAlignment="1">
      <alignment horizontal="right" vertical="center"/>
    </xf>
    <xf numFmtId="10" fontId="3" fillId="2" borderId="0" xfId="0" applyNumberFormat="1" applyFont="1" applyFill="1" applyAlignment="1">
      <alignment horizontal="right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2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0" fontId="1" fillId="0" borderId="0" xfId="2" applyNumberFormat="1" applyFont="1" applyAlignment="1">
      <alignment horizontal="right" vertical="center"/>
    </xf>
    <xf numFmtId="9" fontId="0" fillId="0" borderId="0" xfId="0" applyNumberFormat="1" applyAlignment="1">
      <alignment horizontal="right" vertical="center"/>
    </xf>
    <xf numFmtId="9" fontId="1" fillId="2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right" vertical="center"/>
    </xf>
    <xf numFmtId="9" fontId="3" fillId="0" borderId="0" xfId="1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0" fontId="0" fillId="4" borderId="6" xfId="0" applyNumberFormat="1" applyFill="1" applyBorder="1" applyAlignment="1">
      <alignment horizontal="center" vertical="center"/>
    </xf>
    <xf numFmtId="10" fontId="3" fillId="0" borderId="0" xfId="2" applyNumberFormat="1" applyFont="1" applyBorder="1" applyAlignment="1">
      <alignment horizontal="center" vertical="center"/>
    </xf>
    <xf numFmtId="10" fontId="0" fillId="0" borderId="5" xfId="2" applyNumberFormat="1" applyFont="1" applyFill="1" applyBorder="1" applyAlignment="1">
      <alignment horizontal="center" vertical="center"/>
    </xf>
    <xf numFmtId="10" fontId="1" fillId="0" borderId="0" xfId="2" applyNumberFormat="1" applyFont="1" applyFill="1" applyBorder="1" applyAlignment="1">
      <alignment horizontal="center" vertical="center"/>
    </xf>
    <xf numFmtId="166" fontId="1" fillId="0" borderId="0" xfId="2" applyNumberFormat="1" applyFont="1" applyFill="1" applyBorder="1" applyAlignment="1">
      <alignment horizontal="center" vertical="center"/>
    </xf>
    <xf numFmtId="10" fontId="1" fillId="0" borderId="6" xfId="2" applyNumberFormat="1" applyFont="1" applyFill="1" applyBorder="1" applyAlignment="1">
      <alignment horizontal="center" vertical="center"/>
    </xf>
    <xf numFmtId="43" fontId="0" fillId="0" borderId="7" xfId="1" applyFont="1" applyFill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0" fontId="0" fillId="0" borderId="0" xfId="2" applyNumberFormat="1" applyFont="1" applyBorder="1" applyAlignment="1">
      <alignment horizontal="center" vertical="center"/>
    </xf>
    <xf numFmtId="10" fontId="0" fillId="0" borderId="6" xfId="2" applyNumberFormat="1" applyFont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66" fontId="1" fillId="0" borderId="0" xfId="2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0" fontId="3" fillId="0" borderId="10" xfId="2" applyNumberFormat="1" applyFont="1" applyBorder="1" applyAlignment="1">
      <alignment horizontal="center" vertical="center"/>
    </xf>
    <xf numFmtId="10" fontId="0" fillId="0" borderId="8" xfId="2" applyNumberFormat="1" applyFont="1" applyFill="1" applyBorder="1" applyAlignment="1">
      <alignment horizontal="center" vertical="center"/>
    </xf>
    <xf numFmtId="10" fontId="0" fillId="0" borderId="10" xfId="2" applyNumberFormat="1" applyFont="1" applyFill="1" applyBorder="1" applyAlignment="1">
      <alignment horizontal="center" vertical="center"/>
    </xf>
    <xf numFmtId="166" fontId="1" fillId="0" borderId="10" xfId="2" applyNumberFormat="1" applyFont="1" applyFill="1" applyBorder="1" applyAlignment="1">
      <alignment horizontal="center" vertical="center"/>
    </xf>
    <xf numFmtId="10" fontId="1" fillId="0" borderId="9" xfId="2" applyNumberFormat="1" applyFont="1" applyFill="1" applyBorder="1" applyAlignment="1">
      <alignment horizontal="center" vertical="center"/>
    </xf>
    <xf numFmtId="166" fontId="3" fillId="0" borderId="10" xfId="2" applyNumberFormat="1" applyFont="1" applyFill="1" applyBorder="1" applyAlignment="1">
      <alignment horizontal="center" vertical="center"/>
    </xf>
    <xf numFmtId="43" fontId="0" fillId="0" borderId="11" xfId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0" fontId="0" fillId="0" borderId="10" xfId="2" applyNumberFormat="1" applyFont="1" applyBorder="1" applyAlignment="1">
      <alignment horizontal="center" vertical="center"/>
    </xf>
    <xf numFmtId="10" fontId="0" fillId="0" borderId="9" xfId="2" applyNumberFormat="1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0" fontId="3" fillId="2" borderId="12" xfId="2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Data...3090738066</v>
        <stp/>
        <stp>BDP|10043066661218429730</stp>
        <tr r="J23" s="1"/>
      </tp>
    </main>
    <main first="bofaddin.rtdserver">
      <tp t="s">
        <v>#N/A N/A</v>
        <stp/>
        <stp>BDP|12300494209179666349</stp>
        <tr r="J25" s="1"/>
      </tp>
      <tp t="s">
        <v>#N/A Requesting Data...1700463556</v>
        <stp/>
        <stp>BDP|17563990546357948059</stp>
        <tr r="J22" s="1"/>
      </tp>
    </main>
    <main first="bofaddin.rtdserver">
      <tp t="s">
        <v>#N/A Requesting Data...2257874668</v>
        <stp/>
        <stp>BDP|2926507298220792249</stp>
        <tr r="J26" s="1"/>
      </tp>
    </main>
    <main first="bofaddin.rtdserver">
      <tp t="s">
        <v>#N/A Requesting Data...2966300454</v>
        <stp/>
        <stp>BDP|1167964482326922921</stp>
        <tr r="E26" s="1"/>
      </tp>
    </main>
    <main first="bofaddin.rtdserver">
      <tp t="s">
        <v>#N/A Requesting Data...1480787441</v>
        <stp/>
        <stp>BDP|3749353735500815642</stp>
        <tr r="E24" s="1"/>
      </tp>
      <tp t="s">
        <v>#N/A N/A</v>
        <stp/>
        <stp>BDP|8026393185062798767</stp>
        <tr r="E27" s="1"/>
      </tp>
    </main>
    <main first="bofaddin.rtdserver">
      <tp t="s">
        <v>#N/A Requesting Data...3061485983</v>
        <stp/>
        <stp>BDP|9826700049118685577</stp>
        <tr r="J24" s="1"/>
      </tp>
    </main>
    <main first="bofaddin.rtdserver">
      <tp t="s">
        <v>#N/A N/A</v>
        <stp/>
        <stp>BDP|5114233029625274130</stp>
        <tr r="E22" s="1"/>
      </tp>
      <tp t="s">
        <v>#N/A N/A</v>
        <stp/>
        <stp>BDP|9996690192285952053</stp>
        <tr r="E25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94205</xdr:colOff>
      <xdr:row>7</xdr:row>
      <xdr:rowOff>174491</xdr:rowOff>
    </xdr:from>
    <xdr:to>
      <xdr:col>5</xdr:col>
      <xdr:colOff>1285266</xdr:colOff>
      <xdr:row>13</xdr:row>
      <xdr:rowOff>20935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4CC8950-BEF8-4061-B44C-097C08FEB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6555" y="1565141"/>
          <a:ext cx="1962586" cy="9894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rcantilbanco-my.sharepoint.com/personal/amoya_bancomercantil_com/Documents/MSC%20y%20Luz%20Capital/Presupuesto%202026/MSFI%20-%20Mapeo%20de%20Portafolios%20y%20Benchmarks%20(1).xlsx" TargetMode="External"/><Relationship Id="rId1" Type="http://schemas.openxmlformats.org/officeDocument/2006/relationships/externalLinkPath" Target="https://mercantilbanco-my.sharepoint.com/personal/amoya_bancomercantil_com/Documents/MSC%20y%20Luz%20Capital/Presupuesto%202026/MSFI%20-%20Mapeo%20de%20Portafolios%20y%20Benchmarks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rcantilbanco-my.sharepoint.com/personal/amoya_bancomercantil_com/Documents/MSC%20y%20Luz%20Capital/1.%20PORTAFOLIO%20LUZ/Luz%20Capital%20-%20Seguimiento%20de%20Portafolio%20-%20V2026-2.xlsx" TargetMode="External"/><Relationship Id="rId1" Type="http://schemas.openxmlformats.org/officeDocument/2006/relationships/externalLinkPath" Target="https://mercantilbanco-my.sharepoint.com/personal/amoya_bancomercantil_com/Documents/MSC%20y%20Luz%20Capital/1.%20PORTAFOLIO%20LUZ/Luz%20Capital%20-%20Seguimiento%20de%20Portafolio%20-%20V2026-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730254\Downloads\MSFI%20-%20Mapeo%20de%20Portafolios%20y%20Benchmarks%20v1.xlsb" TargetMode="External"/><Relationship Id="rId1" Type="http://schemas.openxmlformats.org/officeDocument/2006/relationships/externalLinkPath" Target="https://mercantilbanco-my.sharepoint.com/Users/b730254/Downloads/MSFI%20-%20Mapeo%20de%20Portafolios%20y%20Benchmarks%20v1.xlsb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730254\Downloads\Luz%20Capital%20-%20FCST%202026%20-%205+7.xlsx" TargetMode="External"/><Relationship Id="rId1" Type="http://schemas.openxmlformats.org/officeDocument/2006/relationships/externalLinkPath" Target="Luz%20Capital%20-%20FCST%202026%20-%205+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peo de Portafolios"/>
      <sheetName val="Building Blocks - ETFs"/>
      <sheetName val="Exp. Ret."/>
      <sheetName val="Luz"/>
      <sheetName val="MSI Trad"/>
      <sheetName val="MSI Trading"/>
      <sheetName val="MBS"/>
      <sheetName val="MBSchweiz"/>
      <sheetName val="MSYR"/>
      <sheetName val="MSYReas"/>
      <sheetName val="MBSA"/>
      <sheetName val="Optima"/>
      <sheetName val="MBSA."/>
      <sheetName val="MFSI"/>
    </sheetNames>
    <sheetDataSet>
      <sheetData sheetId="0" refreshError="1">
        <row r="2">
          <cell r="A2" t="str">
            <v>Treasury Bills</v>
          </cell>
        </row>
        <row r="3">
          <cell r="A3" t="str">
            <v>Treasury Notes</v>
          </cell>
        </row>
        <row r="4">
          <cell r="A4" t="str">
            <v>High Yield Bonds</v>
          </cell>
        </row>
        <row r="5">
          <cell r="A5" t="str">
            <v>Investment-Grade Bonds</v>
          </cell>
        </row>
        <row r="7">
          <cell r="A7" t="str">
            <v>Equities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porte Benchmarks"/>
      <sheetName val="FIM Asset View"/>
      <sheetName val="ETFs Rating"/>
      <sheetName val="Escenarios Stop Loss"/>
      <sheetName val="Plan de Acción Luz"/>
      <sheetName val="Flujo de Caja"/>
      <sheetName val="Seguimiento Puts"/>
      <sheetName val="Trade Blotter-Checklist"/>
      <sheetName val="BbgResearchPubStorageWorksheet"/>
      <sheetName val="Performance vs Benchmark"/>
      <sheetName val="Equivalencia RF"/>
      <sheetName val="Métricas RF"/>
      <sheetName val="Tablas"/>
      <sheetName val="Portafolio RV"/>
      <sheetName val="Portafolio RF"/>
      <sheetName val="Benchmark RV Composition"/>
      <sheetName val="Portafolio Consolidado"/>
      <sheetName val="Trade Estadístic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3">
          <cell r="C3" t="str">
            <v>BIL US Equity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peo de Portafolios"/>
      <sheetName val="Building Blocks - ETFs"/>
      <sheetName val="Exp. Ret."/>
      <sheetName val="Luz"/>
      <sheetName val="MSI Trad"/>
      <sheetName val="MSI Trading"/>
      <sheetName val="MBS"/>
      <sheetName val="MBSchweiz"/>
      <sheetName val="MSYR"/>
      <sheetName val="MSYReas"/>
      <sheetName val="MBSA"/>
      <sheetName val="Optima"/>
      <sheetName val="MBSA."/>
      <sheetName val="MFSI"/>
      <sheetName val="Datos"/>
      <sheetName val="F.Eff"/>
      <sheetName val="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3">
          <cell r="AN3">
            <v>3.5541120512294702E-2</v>
          </cell>
          <cell r="AO3">
            <v>3.7369553416723031E-2</v>
          </cell>
        </row>
      </sheetData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ilding Blocks - ETFs"/>
      <sheetName val="Exp. Ret."/>
      <sheetName val="Benchmark y Portafolio"/>
      <sheetName val="Plan de Negocios - Gastos"/>
      <sheetName val="Plan de Negocios - Proyección"/>
      <sheetName val="Proy. Liq. Corp"/>
      <sheetName val="PPTO 2026 - Base"/>
      <sheetName val="Retornos Esperados"/>
      <sheetName val="FCST 2026 - 5+7"/>
      <sheetName val="Preguntas"/>
      <sheetName val="Resumen"/>
      <sheetName val="PPTO 2026 - Agresivo"/>
      <sheetName val="PPTO 2026 - Agresivo Eq10%"/>
      <sheetName val="FCST 2025 vs PPTO 2025"/>
      <sheetName val="PPTO 2026 vs PPTO 2025"/>
      <sheetName val="PPTO 2026 vs FCST 2025"/>
      <sheetName val="PDN 5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8">
          <cell r="H18">
            <v>5.8050983198822126E-2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B04AB-0F22-4EA8-8E1D-6E9862A5F384}">
  <sheetPr>
    <tabColor theme="0" tint="-0.14999847407452621"/>
  </sheetPr>
  <dimension ref="A1:S38"/>
  <sheetViews>
    <sheetView showGridLines="0" tabSelected="1" topLeftCell="A6" zoomScale="124" zoomScaleNormal="124" workbookViewId="0">
      <selection activeCell="D30" sqref="D30"/>
    </sheetView>
  </sheetViews>
  <sheetFormatPr baseColWidth="10" defaultColWidth="11.5703125" defaultRowHeight="15" x14ac:dyDescent="0.25"/>
  <cols>
    <col min="1" max="1" width="2.42578125" style="1" customWidth="1"/>
    <col min="2" max="2" width="37" style="1" customWidth="1"/>
    <col min="3" max="3" width="14" style="1" customWidth="1"/>
    <col min="4" max="4" width="2" style="1" customWidth="1"/>
    <col min="5" max="5" width="9.5703125" style="1" customWidth="1"/>
    <col min="6" max="6" width="29.42578125" style="1" customWidth="1"/>
    <col min="7" max="7" width="24.28515625" style="1" customWidth="1"/>
    <col min="8" max="8" width="13.140625" style="1" customWidth="1"/>
    <col min="9" max="9" width="2.28515625" style="1" customWidth="1"/>
    <col min="10" max="10" width="9.28515625" style="1" customWidth="1"/>
    <col min="11" max="11" width="2.85546875" style="1" customWidth="1"/>
    <col min="12" max="12" width="19.5703125" style="1" customWidth="1"/>
    <col min="13" max="13" width="20.140625" style="1" customWidth="1"/>
    <col min="14" max="14" width="18.7109375" style="1" customWidth="1"/>
    <col min="15" max="15" width="18.42578125" style="1" customWidth="1"/>
    <col min="16" max="16" width="16.85546875" style="1" customWidth="1"/>
    <col min="17" max="17" width="4.7109375" style="1" customWidth="1"/>
    <col min="18" max="18" width="12.28515625" style="1" customWidth="1"/>
    <col min="19" max="19" width="12.42578125" style="1" customWidth="1"/>
    <col min="20" max="16384" width="11.5703125" style="1"/>
  </cols>
  <sheetData>
    <row r="1" spans="1:15" ht="14.25" customHeight="1" x14ac:dyDescent="0.25"/>
    <row r="2" spans="1:15" ht="14.25" customHeight="1" x14ac:dyDescent="0.25">
      <c r="B2" s="2" t="s">
        <v>0</v>
      </c>
      <c r="C2" s="3"/>
      <c r="D2" s="4"/>
      <c r="E2" s="4"/>
      <c r="I2" s="4"/>
    </row>
    <row r="3" spans="1:15" ht="14.25" customHeight="1" x14ac:dyDescent="0.25">
      <c r="B3" s="5" t="s">
        <v>1</v>
      </c>
      <c r="C3" s="3"/>
      <c r="D3" s="4"/>
      <c r="E3" s="4"/>
      <c r="I3" s="4"/>
    </row>
    <row r="4" spans="1:15" ht="14.25" customHeight="1" x14ac:dyDescent="0.25">
      <c r="B4" s="5" t="s">
        <v>2</v>
      </c>
      <c r="C4" s="3"/>
      <c r="D4" s="4"/>
      <c r="E4" s="4"/>
      <c r="I4" s="4"/>
    </row>
    <row r="5" spans="1:15" ht="14.25" customHeight="1" x14ac:dyDescent="0.25">
      <c r="B5" s="5" t="s">
        <v>3</v>
      </c>
      <c r="C5" s="3"/>
      <c r="D5" s="4"/>
      <c r="E5" s="4"/>
      <c r="I5" s="4"/>
    </row>
    <row r="6" spans="1:15" ht="23.25" customHeight="1" x14ac:dyDescent="0.25">
      <c r="B6" s="4"/>
      <c r="C6" s="3"/>
      <c r="D6" s="4"/>
      <c r="E6" s="4"/>
      <c r="I6" s="4"/>
    </row>
    <row r="7" spans="1:15" x14ac:dyDescent="0.25">
      <c r="B7" s="2" t="s">
        <v>4</v>
      </c>
      <c r="C7" s="3"/>
      <c r="D7" s="4"/>
      <c r="H7" s="4"/>
      <c r="I7" s="4"/>
    </row>
    <row r="8" spans="1:15" x14ac:dyDescent="0.25">
      <c r="B8" s="6" t="s">
        <v>5</v>
      </c>
      <c r="C8" s="6"/>
      <c r="D8" s="6"/>
      <c r="E8" s="6"/>
      <c r="F8" s="6"/>
      <c r="H8" s="4"/>
      <c r="I8" s="4"/>
    </row>
    <row r="9" spans="1:15" x14ac:dyDescent="0.25">
      <c r="A9" s="7"/>
      <c r="B9" s="7" t="s">
        <v>6</v>
      </c>
      <c r="C9" s="8">
        <f>7/12</f>
        <v>0.58333333333333337</v>
      </c>
      <c r="D9" s="4"/>
      <c r="I9" s="4"/>
      <c r="J9" s="4"/>
    </row>
    <row r="10" spans="1:15" x14ac:dyDescent="0.25">
      <c r="A10" s="7"/>
      <c r="B10" s="7" t="s">
        <v>7</v>
      </c>
      <c r="C10" s="9">
        <v>0</v>
      </c>
      <c r="D10" s="4"/>
      <c r="H10" s="4"/>
      <c r="I10" s="4"/>
      <c r="J10" s="4"/>
    </row>
    <row r="11" spans="1:15" x14ac:dyDescent="0.25">
      <c r="A11" s="7"/>
      <c r="B11" s="7" t="s">
        <v>8</v>
      </c>
      <c r="C11" s="10">
        <v>2E-3</v>
      </c>
      <c r="D11" s="4"/>
      <c r="H11" s="4"/>
      <c r="I11" s="4"/>
      <c r="J11" s="4"/>
      <c r="M11" s="4"/>
      <c r="N11" s="4"/>
      <c r="O11" s="11"/>
    </row>
    <row r="12" spans="1:15" x14ac:dyDescent="0.25">
      <c r="A12" s="7"/>
      <c r="B12" s="7" t="s">
        <v>9</v>
      </c>
      <c r="C12" s="12">
        <f>+AVERAGE(C10:C11)</f>
        <v>1E-3</v>
      </c>
      <c r="D12" s="4"/>
      <c r="H12" s="4"/>
      <c r="I12" s="4"/>
      <c r="J12" s="4"/>
      <c r="M12" s="4"/>
      <c r="N12" s="4"/>
      <c r="O12" s="11"/>
    </row>
    <row r="13" spans="1:15" x14ac:dyDescent="0.25">
      <c r="A13" s="13" t="s">
        <v>10</v>
      </c>
      <c r="B13" s="13"/>
      <c r="C13" s="14">
        <f>-C12</f>
        <v>-1E-3</v>
      </c>
      <c r="D13" s="4"/>
      <c r="I13" s="4"/>
      <c r="J13" s="4"/>
      <c r="M13" s="4"/>
      <c r="N13" s="4"/>
      <c r="O13" s="11"/>
    </row>
    <row r="14" spans="1:15" x14ac:dyDescent="0.25">
      <c r="B14" s="3"/>
      <c r="C14" s="3"/>
      <c r="D14" s="4"/>
      <c r="I14" s="4"/>
      <c r="J14" s="4"/>
      <c r="M14" s="4"/>
    </row>
    <row r="15" spans="1:15" x14ac:dyDescent="0.25">
      <c r="B15" s="6" t="s">
        <v>11</v>
      </c>
      <c r="C15" s="6"/>
      <c r="D15" s="6"/>
      <c r="E15" s="6"/>
      <c r="F15" s="6"/>
      <c r="I15" s="4"/>
      <c r="J15" s="4"/>
      <c r="M15" s="4"/>
    </row>
    <row r="16" spans="1:15" x14ac:dyDescent="0.25">
      <c r="B16" s="7" t="s">
        <v>12</v>
      </c>
      <c r="C16" s="15">
        <f>+E27</f>
        <v>1.5686298552013579E-2</v>
      </c>
      <c r="D16" s="4"/>
      <c r="H16" s="4"/>
      <c r="I16" s="4"/>
      <c r="J16" s="4"/>
      <c r="M16" s="4"/>
    </row>
    <row r="17" spans="2:19" x14ac:dyDescent="0.25">
      <c r="B17" s="7" t="s">
        <v>13</v>
      </c>
      <c r="C17" s="16">
        <v>0.1</v>
      </c>
      <c r="L17" s="4"/>
    </row>
    <row r="18" spans="2:19" x14ac:dyDescent="0.25">
      <c r="B18" s="7" t="s">
        <v>14</v>
      </c>
      <c r="C18" s="17">
        <v>0</v>
      </c>
      <c r="D18" s="4"/>
      <c r="E18" s="18" t="s">
        <v>15</v>
      </c>
      <c r="F18" s="18"/>
      <c r="I18" s="4"/>
      <c r="J18" s="4"/>
    </row>
    <row r="19" spans="2:19" ht="19.5" customHeight="1" x14ac:dyDescent="0.25">
      <c r="B19" s="19"/>
      <c r="C19" s="20"/>
      <c r="D19" s="4"/>
      <c r="I19" s="4"/>
      <c r="J19" s="4"/>
    </row>
    <row r="20" spans="2:19" ht="14.25" customHeight="1" x14ac:dyDescent="0.25">
      <c r="B20" s="2" t="s">
        <v>16</v>
      </c>
      <c r="C20" s="3"/>
      <c r="D20" s="4"/>
      <c r="E20" s="4"/>
      <c r="F20" s="4"/>
      <c r="G20" s="4"/>
      <c r="I20" s="4"/>
    </row>
    <row r="21" spans="2:19" ht="44.25" customHeight="1" x14ac:dyDescent="0.25">
      <c r="B21" s="21" t="s">
        <v>17</v>
      </c>
      <c r="C21" s="22" t="s">
        <v>18</v>
      </c>
      <c r="D21" s="23"/>
      <c r="E21" s="21" t="s">
        <v>19</v>
      </c>
      <c r="F21" s="24" t="s">
        <v>20</v>
      </c>
      <c r="G21" s="24" t="s">
        <v>21</v>
      </c>
      <c r="H21" s="22" t="s">
        <v>22</v>
      </c>
      <c r="I21" s="25"/>
      <c r="J21" s="26" t="s">
        <v>23</v>
      </c>
      <c r="K21" s="25"/>
      <c r="L21" s="21" t="s">
        <v>24</v>
      </c>
      <c r="M21" s="24" t="s">
        <v>25</v>
      </c>
      <c r="N21" s="24" t="s">
        <v>26</v>
      </c>
      <c r="O21" s="24" t="s">
        <v>27</v>
      </c>
      <c r="P21" s="22" t="s">
        <v>28</v>
      </c>
      <c r="Q21" s="27"/>
      <c r="R21" s="21" t="s">
        <v>29</v>
      </c>
      <c r="S21" s="22" t="s">
        <v>30</v>
      </c>
    </row>
    <row r="22" spans="2:19" ht="17.25" customHeight="1" x14ac:dyDescent="0.25">
      <c r="B22" s="28" t="str">
        <f>+'[1]Mapeo de Portafolios'!A2</f>
        <v>Treasury Bills</v>
      </c>
      <c r="C22" s="29" t="str">
        <f>+'[2]Portafolio RF'!$C$3</f>
        <v>BIL US Equity</v>
      </c>
      <c r="D22" s="30"/>
      <c r="E22" s="31" cm="1">
        <f t="array" ref="E22">+_xll.BDP(C22,"DV012")%</f>
        <v>3.5345740218908357E-2</v>
      </c>
      <c r="F22" s="32">
        <f>+[3]F.Eff!$AN$3</f>
        <v>3.5541120512294702E-2</v>
      </c>
      <c r="G22" s="33" t="s">
        <v>31</v>
      </c>
      <c r="H22" s="34">
        <f>+AVERAGE(E22:F22)</f>
        <v>3.5443430365601533E-2</v>
      </c>
      <c r="J22" s="35" cm="1">
        <f t="array" ref="J22">+_xll.BDP(C22,"fd598")</f>
        <v>0.10430389354393042</v>
      </c>
      <c r="L22" s="36">
        <f>+H22*$C$9</f>
        <v>2.067533437993423E-2</v>
      </c>
      <c r="M22" s="37">
        <f>-J22*$C$13</f>
        <v>1.0430389354393042E-4</v>
      </c>
      <c r="N22" s="37" t="s">
        <v>32</v>
      </c>
      <c r="O22" s="37">
        <f>+M22+L22</f>
        <v>2.077963827347816E-2</v>
      </c>
      <c r="P22" s="38">
        <f>+O22*1.71428571428571</f>
        <v>3.5622237040248271E-2</v>
      </c>
      <c r="R22" s="39">
        <v>0.05</v>
      </c>
      <c r="S22" s="40"/>
    </row>
    <row r="23" spans="2:19" x14ac:dyDescent="0.25">
      <c r="B23" s="41" t="str">
        <f>+'[1]Mapeo de Portafolios'!A3</f>
        <v>Treasury Notes</v>
      </c>
      <c r="C23" s="40" t="s">
        <v>33</v>
      </c>
      <c r="D23" s="30"/>
      <c r="E23" s="31">
        <v>3.85E-2</v>
      </c>
      <c r="F23" s="32">
        <f>+[3]F.Eff!$AO$3</f>
        <v>3.7369553416723031E-2</v>
      </c>
      <c r="G23" s="33"/>
      <c r="H23" s="34">
        <f t="shared" ref="H23:H27" si="0">+AVERAGE(E23:F23)</f>
        <v>3.7934776708361512E-2</v>
      </c>
      <c r="J23" s="35" cm="1">
        <f t="array" ref="J23">+_xll.BDP(C23,"fd598")</f>
        <v>6.7115768635869255</v>
      </c>
      <c r="L23" s="36">
        <f>+H23*$C$9</f>
        <v>2.2128619746544217E-2</v>
      </c>
      <c r="M23" s="37">
        <f>-$C$13*J23*$C$9</f>
        <v>3.9150865037590405E-3</v>
      </c>
      <c r="N23" s="37" t="s">
        <v>32</v>
      </c>
      <c r="O23" s="37">
        <f t="shared" ref="O23:O27" si="1">+M23+L23</f>
        <v>2.6043706250303257E-2</v>
      </c>
      <c r="P23" s="38">
        <f t="shared" ref="P23:P27" si="2">+O23*1.71428571428571</f>
        <v>4.464635357194844E-2</v>
      </c>
      <c r="R23" s="39">
        <v>0.45</v>
      </c>
      <c r="S23" s="42"/>
    </row>
    <row r="24" spans="2:19" x14ac:dyDescent="0.25">
      <c r="B24" s="28" t="str">
        <f>+'[1]Mapeo de Portafolios'!A4</f>
        <v>High Yield Bonds</v>
      </c>
      <c r="C24" s="43" t="s">
        <v>34</v>
      </c>
      <c r="D24" s="30"/>
      <c r="E24" s="31" cm="1">
        <f t="array" ref="E24">+_xll.BDP(C24,"DV012")%</f>
        <v>6.312668758394864E-2</v>
      </c>
      <c r="F24" s="32">
        <f>+F23+2.6%</f>
        <v>6.336955341672304E-2</v>
      </c>
      <c r="G24" s="44" t="s">
        <v>35</v>
      </c>
      <c r="H24" s="34">
        <f t="shared" si="0"/>
        <v>6.3248120500335847E-2</v>
      </c>
      <c r="J24" s="35" cm="1">
        <f t="array" ref="J24">+_xll.BDP(C24,"fd598")</f>
        <v>2.9252728708472668</v>
      </c>
      <c r="L24" s="36">
        <f>+H24*$C$9</f>
        <v>3.6894736958529246E-2</v>
      </c>
      <c r="M24" s="37">
        <f>-$C$13*J24*$C$9</f>
        <v>1.7064091746609056E-3</v>
      </c>
      <c r="N24" s="37" t="s">
        <v>32</v>
      </c>
      <c r="O24" s="37">
        <f t="shared" si="1"/>
        <v>3.8601146133190149E-2</v>
      </c>
      <c r="P24" s="38">
        <f t="shared" si="2"/>
        <v>6.6173393371183109E-2</v>
      </c>
      <c r="R24" s="39">
        <v>0.2</v>
      </c>
      <c r="S24" s="42"/>
    </row>
    <row r="25" spans="2:19" x14ac:dyDescent="0.25">
      <c r="B25" s="41" t="str">
        <f>+'[1]Mapeo de Portafolios'!A5</f>
        <v>Investment-Grade Bonds</v>
      </c>
      <c r="C25" s="40" t="s">
        <v>36</v>
      </c>
      <c r="D25" s="30"/>
      <c r="E25" s="31" cm="1">
        <f t="array" ref="E25">+_xll.BDP(C25,"DV012")%</f>
        <v>4.6793222701097877E-2</v>
      </c>
      <c r="F25" s="32">
        <f>+F23+0.7%</f>
        <v>4.436955341672303E-2</v>
      </c>
      <c r="G25" s="44" t="s">
        <v>37</v>
      </c>
      <c r="H25" s="34">
        <f t="shared" si="0"/>
        <v>4.5581388058910453E-2</v>
      </c>
      <c r="J25" s="35" cm="1">
        <f t="array" ref="J25">+_xll.BDP(C25,"fd598")</f>
        <v>8.6930979115646245</v>
      </c>
      <c r="L25" s="36">
        <f>+H25*$C$9</f>
        <v>2.6589143034364434E-2</v>
      </c>
      <c r="M25" s="37">
        <f>-$C$13*J25*$C$9</f>
        <v>5.0709737817460311E-3</v>
      </c>
      <c r="N25" s="37" t="s">
        <v>32</v>
      </c>
      <c r="O25" s="37">
        <f t="shared" si="1"/>
        <v>3.1660116816110466E-2</v>
      </c>
      <c r="P25" s="38">
        <f t="shared" si="2"/>
        <v>5.427448597047508E-2</v>
      </c>
      <c r="R25" s="39">
        <v>0.1</v>
      </c>
      <c r="S25" s="42"/>
    </row>
    <row r="26" spans="2:19" x14ac:dyDescent="0.25">
      <c r="B26" s="28" t="s">
        <v>38</v>
      </c>
      <c r="C26" s="43" t="s">
        <v>39</v>
      </c>
      <c r="D26" s="30"/>
      <c r="E26" s="31" cm="1">
        <f t="array" ref="E26">+_xll.BDP(C26,"DV012")%</f>
        <v>5.092255963793986E-2</v>
      </c>
      <c r="F26" s="32">
        <f>+F23+1.7%</f>
        <v>5.4369553416723032E-2</v>
      </c>
      <c r="G26" s="44" t="s">
        <v>40</v>
      </c>
      <c r="H26" s="34">
        <f t="shared" si="0"/>
        <v>5.2646056527331446E-2</v>
      </c>
      <c r="J26" s="35" cm="1">
        <f t="array" ref="J26">+_xll.BDP(C26,"fd598")</f>
        <v>6.7859859623647241</v>
      </c>
      <c r="L26" s="36">
        <f>+H26*$C$9</f>
        <v>3.0710199640943344E-2</v>
      </c>
      <c r="M26" s="37">
        <f>-$C$13*J26*$C$9</f>
        <v>3.9584918113794226E-3</v>
      </c>
      <c r="N26" s="37" t="s">
        <v>32</v>
      </c>
      <c r="O26" s="37">
        <f t="shared" si="1"/>
        <v>3.4668691452322764E-2</v>
      </c>
      <c r="P26" s="38">
        <f t="shared" si="2"/>
        <v>5.9432042489696163E-2</v>
      </c>
      <c r="R26" s="39">
        <v>0.1</v>
      </c>
      <c r="S26" s="42"/>
    </row>
    <row r="27" spans="2:19" x14ac:dyDescent="0.25">
      <c r="B27" s="45" t="str">
        <f>+'[1]Mapeo de Portafolios'!A7</f>
        <v>Equities</v>
      </c>
      <c r="C27" s="46" t="s">
        <v>41</v>
      </c>
      <c r="D27" s="47"/>
      <c r="E27" s="48" cm="1">
        <f t="array" ref="E27">+_xll.BDP(C27,"DV012")%</f>
        <v>1.5686298552013579E-2</v>
      </c>
      <c r="F27" s="49">
        <f>+E27</f>
        <v>1.5686298552013579E-2</v>
      </c>
      <c r="G27" s="50" t="s">
        <v>42</v>
      </c>
      <c r="H27" s="51">
        <f t="shared" si="0"/>
        <v>1.5686298552013579E-2</v>
      </c>
      <c r="I27" s="52"/>
      <c r="J27" s="53" t="s">
        <v>32</v>
      </c>
      <c r="K27" s="54"/>
      <c r="L27" s="55">
        <f>+H27*C9</f>
        <v>9.1503408220079217E-3</v>
      </c>
      <c r="M27" s="56">
        <f>+C17*C9</f>
        <v>5.8333333333333341E-2</v>
      </c>
      <c r="N27" s="56">
        <v>0</v>
      </c>
      <c r="O27" s="56">
        <f t="shared" si="1"/>
        <v>6.7483674155341261E-2</v>
      </c>
      <c r="P27" s="57">
        <f t="shared" si="2"/>
        <v>0.11568629855201358</v>
      </c>
      <c r="Q27" s="54"/>
      <c r="R27" s="58">
        <v>0.1</v>
      </c>
      <c r="S27" s="59"/>
    </row>
    <row r="28" spans="2:19" ht="12.6" customHeight="1" x14ac:dyDescent="0.25">
      <c r="P28" s="60">
        <f>+'[4]FCST 2026 - 5+7'!H18</f>
        <v>5.8050983198822126E-2</v>
      </c>
      <c r="S28" s="60">
        <f>+SUMPRODUCT(O22:O27,R22:R27)</f>
        <v>3.3860127195325856E-2</v>
      </c>
    </row>
    <row r="30" spans="2:19" x14ac:dyDescent="0.25">
      <c r="F30" s="61" t="s">
        <v>43</v>
      </c>
    </row>
    <row r="32" spans="2:19" x14ac:dyDescent="0.25">
      <c r="F32" s="62" t="s">
        <v>44</v>
      </c>
    </row>
    <row r="34" spans="7:10" x14ac:dyDescent="0.25">
      <c r="G34" s="4"/>
    </row>
    <row r="38" spans="7:10" x14ac:dyDescent="0.25">
      <c r="J38" s="1" t="s">
        <v>45</v>
      </c>
    </row>
  </sheetData>
  <mergeCells count="5">
    <mergeCell ref="B8:F8"/>
    <mergeCell ref="A13:B13"/>
    <mergeCell ref="B15:F15"/>
    <mergeCell ref="E18:F18"/>
    <mergeCell ref="G22:G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Retornos Esperados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Moya Figuera, Antulio Salvador</dc:creator>
  <cp:lastModifiedBy>Moya Figuera, Antulio Salvador</cp:lastModifiedBy>
  <dcterms:created xsi:type="dcterms:W3CDTF">2026-06-01T19:17:16Z</dcterms:created>
  <dcterms:modified xsi:type="dcterms:W3CDTF">2026-06-01T19:17:56Z</dcterms:modified>
</cp:coreProperties>
</file>